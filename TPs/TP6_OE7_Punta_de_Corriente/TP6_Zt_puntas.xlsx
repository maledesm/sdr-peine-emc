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Docs\FIUBA\6to año\Compatibilidad Electromagnética\TPs\TP6_OE7_Punta_de_Corriente\"/>
    </mc:Choice>
  </mc:AlternateContent>
  <xr:revisionPtr revIDLastSave="0" documentId="13_ncr:1_{0F56BE70-F0DD-4FCD-94ED-CED4CE35F42A}" xr6:coauthVersionLast="47" xr6:coauthVersionMax="47" xr10:uidLastSave="{00000000-0000-0000-0000-000000000000}"/>
  <bookViews>
    <workbookView xWindow="-108" yWindow="-108" windowWidth="23256" windowHeight="12456" activeTab="2" xr2:uid="{00000000-000D-0000-FFFF-FFFF00000000}"/>
  </bookViews>
  <sheets>
    <sheet name="Medición" sheetId="1" r:id="rId1"/>
    <sheet name="Datos del ensayo" sheetId="2" r:id="rId2"/>
    <sheet name="Gráfic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1" l="1"/>
  <c r="O55" i="1"/>
  <c r="O54" i="1"/>
  <c r="B38" i="2"/>
  <c r="K55" i="1"/>
  <c r="Q55" i="1"/>
  <c r="K54" i="1"/>
  <c r="Q54" i="1"/>
  <c r="K53" i="1"/>
  <c r="Q53" i="1"/>
  <c r="F54" i="1"/>
  <c r="F55" i="1"/>
  <c r="F53" i="1"/>
  <c r="O53" i="1"/>
  <c r="C53" i="1"/>
  <c r="L53" i="1" s="1"/>
  <c r="M53" i="1" s="1"/>
  <c r="C54" i="1"/>
  <c r="B17" i="2"/>
  <c r="Q64" i="1"/>
  <c r="O64" i="1"/>
  <c r="K64" i="1"/>
  <c r="F64" i="1"/>
  <c r="C64" i="1"/>
  <c r="L64" i="1" s="1"/>
  <c r="M64" i="1" s="1"/>
  <c r="Q63" i="1"/>
  <c r="O63" i="1"/>
  <c r="K63" i="1"/>
  <c r="F63" i="1"/>
  <c r="C63" i="1"/>
  <c r="Q62" i="1"/>
  <c r="O62" i="1"/>
  <c r="K62" i="1"/>
  <c r="F62" i="1"/>
  <c r="C62" i="1"/>
  <c r="Q61" i="1"/>
  <c r="O61" i="1"/>
  <c r="K61" i="1"/>
  <c r="F61" i="1"/>
  <c r="C61" i="1"/>
  <c r="Q60" i="1"/>
  <c r="O60" i="1"/>
  <c r="K60" i="1"/>
  <c r="F60" i="1"/>
  <c r="C60" i="1"/>
  <c r="Q59" i="1"/>
  <c r="O59" i="1"/>
  <c r="K59" i="1"/>
  <c r="F59" i="1"/>
  <c r="C59" i="1"/>
  <c r="Q58" i="1"/>
  <c r="O58" i="1"/>
  <c r="K58" i="1"/>
  <c r="F58" i="1"/>
  <c r="C58" i="1"/>
  <c r="Q57" i="1"/>
  <c r="O57" i="1"/>
  <c r="K57" i="1"/>
  <c r="F57" i="1"/>
  <c r="C57" i="1"/>
  <c r="Q56" i="1"/>
  <c r="O56" i="1"/>
  <c r="K56" i="1"/>
  <c r="F56" i="1"/>
  <c r="C56" i="1"/>
  <c r="Q52" i="1"/>
  <c r="O52" i="1"/>
  <c r="K52" i="1"/>
  <c r="F52" i="1"/>
  <c r="C52" i="1"/>
  <c r="Q51" i="1"/>
  <c r="O51" i="1"/>
  <c r="K51" i="1"/>
  <c r="F51" i="1"/>
  <c r="C51" i="1"/>
  <c r="Q50" i="1"/>
  <c r="O50" i="1"/>
  <c r="K50" i="1"/>
  <c r="F50" i="1"/>
  <c r="C50" i="1"/>
  <c r="Q49" i="1"/>
  <c r="O49" i="1"/>
  <c r="K49" i="1"/>
  <c r="F49" i="1"/>
  <c r="C49" i="1"/>
  <c r="Q48" i="1"/>
  <c r="O48" i="1"/>
  <c r="K48" i="1"/>
  <c r="F48" i="1"/>
  <c r="C48" i="1"/>
  <c r="Q47" i="1"/>
  <c r="O47" i="1"/>
  <c r="K47" i="1"/>
  <c r="F47" i="1"/>
  <c r="C47" i="1"/>
  <c r="Q46" i="1"/>
  <c r="O46" i="1"/>
  <c r="K46" i="1"/>
  <c r="F46" i="1"/>
  <c r="C46" i="1"/>
  <c r="Q45" i="1"/>
  <c r="O45" i="1"/>
  <c r="K45" i="1"/>
  <c r="F45" i="1"/>
  <c r="C45" i="1"/>
  <c r="Q44" i="1"/>
  <c r="O44" i="1"/>
  <c r="K44" i="1"/>
  <c r="F44" i="1"/>
  <c r="C44" i="1"/>
  <c r="Q43" i="1"/>
  <c r="O43" i="1"/>
  <c r="K43" i="1"/>
  <c r="F43" i="1"/>
  <c r="C43" i="1"/>
  <c r="Q42" i="1"/>
  <c r="O42" i="1"/>
  <c r="K42" i="1"/>
  <c r="F42" i="1"/>
  <c r="C42" i="1"/>
  <c r="Q41" i="1"/>
  <c r="O41" i="1"/>
  <c r="K41" i="1"/>
  <c r="F41" i="1"/>
  <c r="C41" i="1"/>
  <c r="Q40" i="1"/>
  <c r="O40" i="1"/>
  <c r="K40" i="1"/>
  <c r="F40" i="1"/>
  <c r="C40" i="1"/>
  <c r="Q39" i="1"/>
  <c r="O39" i="1"/>
  <c r="K39" i="1"/>
  <c r="F39" i="1"/>
  <c r="C39" i="1"/>
  <c r="Q38" i="1"/>
  <c r="O38" i="1"/>
  <c r="K38" i="1"/>
  <c r="F38" i="1"/>
  <c r="C38" i="1"/>
  <c r="Q37" i="1"/>
  <c r="O37" i="1"/>
  <c r="K37" i="1"/>
  <c r="F37" i="1"/>
  <c r="C37" i="1"/>
  <c r="Q36" i="1"/>
  <c r="O36" i="1"/>
  <c r="K36" i="1"/>
  <c r="F36" i="1"/>
  <c r="C36" i="1"/>
  <c r="Q35" i="1"/>
  <c r="O35" i="1"/>
  <c r="K35" i="1"/>
  <c r="F35" i="1"/>
  <c r="C35" i="1"/>
  <c r="Q34" i="1"/>
  <c r="O34" i="1"/>
  <c r="K34" i="1"/>
  <c r="F34" i="1"/>
  <c r="C34" i="1"/>
  <c r="Q33" i="1"/>
  <c r="O33" i="1"/>
  <c r="K33" i="1"/>
  <c r="F33" i="1"/>
  <c r="C33" i="1"/>
  <c r="Q32" i="1"/>
  <c r="O32" i="1"/>
  <c r="K32" i="1"/>
  <c r="F32" i="1"/>
  <c r="C32" i="1"/>
  <c r="Q31" i="1"/>
  <c r="O31" i="1"/>
  <c r="K31" i="1"/>
  <c r="F31" i="1"/>
  <c r="C31" i="1"/>
  <c r="Q30" i="1"/>
  <c r="O30" i="1"/>
  <c r="K30" i="1"/>
  <c r="F30" i="1"/>
  <c r="C30" i="1"/>
  <c r="Q29" i="1"/>
  <c r="O29" i="1"/>
  <c r="K29" i="1"/>
  <c r="F29" i="1"/>
  <c r="C29" i="1"/>
  <c r="Q28" i="1"/>
  <c r="O28" i="1"/>
  <c r="K28" i="1"/>
  <c r="F28" i="1"/>
  <c r="C28" i="1"/>
  <c r="Q27" i="1"/>
  <c r="O27" i="1"/>
  <c r="K27" i="1"/>
  <c r="F27" i="1"/>
  <c r="C27" i="1"/>
  <c r="Q26" i="1"/>
  <c r="O26" i="1"/>
  <c r="K26" i="1"/>
  <c r="F26" i="1"/>
  <c r="C26" i="1"/>
  <c r="Q25" i="1"/>
  <c r="O25" i="1"/>
  <c r="K25" i="1"/>
  <c r="F25" i="1"/>
  <c r="C25" i="1"/>
  <c r="Q24" i="1"/>
  <c r="O24" i="1"/>
  <c r="K24" i="1"/>
  <c r="F24" i="1"/>
  <c r="C24" i="1"/>
  <c r="Q23" i="1"/>
  <c r="O23" i="1"/>
  <c r="K23" i="1"/>
  <c r="F23" i="1"/>
  <c r="C23" i="1"/>
  <c r="Q22" i="1"/>
  <c r="O22" i="1"/>
  <c r="K22" i="1"/>
  <c r="F22" i="1"/>
  <c r="C22" i="1"/>
  <c r="Q21" i="1"/>
  <c r="O21" i="1"/>
  <c r="K21" i="1"/>
  <c r="F21" i="1"/>
  <c r="C21" i="1"/>
  <c r="Q20" i="1"/>
  <c r="O20" i="1"/>
  <c r="K20" i="1"/>
  <c r="F20" i="1"/>
  <c r="C20" i="1"/>
  <c r="Q19" i="1"/>
  <c r="O19" i="1"/>
  <c r="K19" i="1"/>
  <c r="F19" i="1"/>
  <c r="C19" i="1"/>
  <c r="Q18" i="1"/>
  <c r="O18" i="1"/>
  <c r="K18" i="1"/>
  <c r="F18" i="1"/>
  <c r="C18" i="1"/>
  <c r="Q17" i="1"/>
  <c r="O17" i="1"/>
  <c r="K17" i="1"/>
  <c r="F17" i="1"/>
  <c r="C17" i="1"/>
  <c r="Q16" i="1"/>
  <c r="O16" i="1"/>
  <c r="K16" i="1"/>
  <c r="F16" i="1"/>
  <c r="C16" i="1"/>
  <c r="Q15" i="1"/>
  <c r="O15" i="1"/>
  <c r="K15" i="1"/>
  <c r="F15" i="1"/>
  <c r="C15" i="1"/>
  <c r="Q14" i="1"/>
  <c r="O14" i="1"/>
  <c r="K14" i="1"/>
  <c r="F14" i="1"/>
  <c r="C14" i="1"/>
  <c r="Q13" i="1"/>
  <c r="O13" i="1"/>
  <c r="K13" i="1"/>
  <c r="F13" i="1"/>
  <c r="C13" i="1"/>
  <c r="Q12" i="1"/>
  <c r="O12" i="1"/>
  <c r="K12" i="1"/>
  <c r="F12" i="1"/>
  <c r="C12" i="1"/>
  <c r="Q11" i="1"/>
  <c r="O11" i="1"/>
  <c r="K11" i="1"/>
  <c r="F11" i="1"/>
  <c r="C11" i="1"/>
  <c r="Q10" i="1"/>
  <c r="O10" i="1"/>
  <c r="K10" i="1"/>
  <c r="F10" i="1"/>
  <c r="C10" i="1"/>
  <c r="G5" i="1"/>
  <c r="L56" i="1" l="1"/>
  <c r="M56" i="1" s="1"/>
  <c r="L63" i="1"/>
  <c r="M63" i="1" s="1"/>
  <c r="L62" i="1"/>
  <c r="M62" i="1" s="1"/>
  <c r="L61" i="1"/>
  <c r="M61" i="1" s="1"/>
  <c r="L60" i="1"/>
  <c r="M60" i="1" s="1"/>
  <c r="L58" i="1"/>
  <c r="M58" i="1" s="1"/>
  <c r="L57" i="1"/>
  <c r="M57" i="1" s="1"/>
  <c r="L52" i="1"/>
  <c r="M52" i="1" s="1"/>
  <c r="L51" i="1"/>
  <c r="M51" i="1" s="1"/>
  <c r="L50" i="1"/>
  <c r="M50" i="1" s="1"/>
  <c r="L49" i="1"/>
  <c r="M49" i="1" s="1"/>
  <c r="L48" i="1"/>
  <c r="M48" i="1" s="1"/>
  <c r="L47" i="1"/>
  <c r="M47" i="1" s="1"/>
  <c r="L46" i="1"/>
  <c r="M46" i="1" s="1"/>
  <c r="L45" i="1"/>
  <c r="M45" i="1" s="1"/>
  <c r="L43" i="1"/>
  <c r="M43" i="1" s="1"/>
  <c r="L42" i="1"/>
  <c r="M42" i="1" s="1"/>
  <c r="L41" i="1"/>
  <c r="M41" i="1" s="1"/>
  <c r="L40" i="1"/>
  <c r="M40" i="1" s="1"/>
  <c r="L39" i="1"/>
  <c r="M39" i="1" s="1"/>
  <c r="L33" i="1"/>
  <c r="M33" i="1" s="1"/>
  <c r="L32" i="1"/>
  <c r="M32" i="1" s="1"/>
  <c r="L31" i="1"/>
  <c r="M31" i="1" s="1"/>
  <c r="L30" i="1"/>
  <c r="M30" i="1" s="1"/>
  <c r="G29" i="1"/>
  <c r="H29" i="1" s="1"/>
  <c r="G25" i="1"/>
  <c r="H25" i="1" s="1"/>
  <c r="G21" i="1"/>
  <c r="H21" i="1" s="1"/>
  <c r="L44" i="1"/>
  <c r="M44" i="1" s="1"/>
  <c r="L55" i="1"/>
  <c r="M55" i="1" s="1"/>
  <c r="L59" i="1"/>
  <c r="M59" i="1" s="1"/>
  <c r="G38" i="1"/>
  <c r="H38" i="1" s="1"/>
  <c r="L38" i="1"/>
  <c r="M38" i="1" s="1"/>
  <c r="G54" i="1"/>
  <c r="H54" i="1" s="1"/>
  <c r="L54" i="1"/>
  <c r="M54" i="1" s="1"/>
  <c r="G37" i="1"/>
  <c r="H37" i="1" s="1"/>
  <c r="L37" i="1"/>
  <c r="M37" i="1" s="1"/>
  <c r="G36" i="1"/>
  <c r="H36" i="1" s="1"/>
  <c r="L36" i="1"/>
  <c r="M36" i="1" s="1"/>
  <c r="G35" i="1"/>
  <c r="H35" i="1" s="1"/>
  <c r="L35" i="1"/>
  <c r="M35" i="1" s="1"/>
  <c r="G34" i="1"/>
  <c r="H34" i="1" s="1"/>
  <c r="L34" i="1"/>
  <c r="M34" i="1" s="1"/>
  <c r="G53" i="1"/>
  <c r="H53" i="1" s="1"/>
  <c r="G28" i="1"/>
  <c r="H28" i="1" s="1"/>
  <c r="L28" i="1"/>
  <c r="M28" i="1" s="1"/>
  <c r="L27" i="1"/>
  <c r="M27" i="1" s="1"/>
  <c r="G27" i="1"/>
  <c r="H27" i="1" s="1"/>
  <c r="L26" i="1"/>
  <c r="M26" i="1" s="1"/>
  <c r="G26" i="1"/>
  <c r="H26" i="1" s="1"/>
  <c r="G24" i="1"/>
  <c r="H24" i="1" s="1"/>
  <c r="L24" i="1"/>
  <c r="M24" i="1" s="1"/>
  <c r="G23" i="1"/>
  <c r="H23" i="1" s="1"/>
  <c r="L23" i="1"/>
  <c r="M23" i="1" s="1"/>
  <c r="G22" i="1"/>
  <c r="H22" i="1" s="1"/>
  <c r="L22" i="1"/>
  <c r="M22" i="1" s="1"/>
  <c r="L20" i="1"/>
  <c r="M20" i="1" s="1"/>
  <c r="G20" i="1"/>
  <c r="H20" i="1" s="1"/>
  <c r="G19" i="1"/>
  <c r="H19" i="1" s="1"/>
  <c r="L19" i="1"/>
  <c r="M19" i="1" s="1"/>
  <c r="G18" i="1"/>
  <c r="H18" i="1" s="1"/>
  <c r="L18" i="1"/>
  <c r="M18" i="1" s="1"/>
  <c r="L17" i="1"/>
  <c r="M17" i="1" s="1"/>
  <c r="G17" i="1"/>
  <c r="H17" i="1" s="1"/>
  <c r="L16" i="1"/>
  <c r="M16" i="1" s="1"/>
  <c r="G16" i="1"/>
  <c r="H16" i="1" s="1"/>
  <c r="G15" i="1"/>
  <c r="H15" i="1" s="1"/>
  <c r="L15" i="1"/>
  <c r="M15" i="1" s="1"/>
  <c r="L14" i="1"/>
  <c r="M14" i="1" s="1"/>
  <c r="G14" i="1"/>
  <c r="H14" i="1" s="1"/>
  <c r="L13" i="1"/>
  <c r="M13" i="1" s="1"/>
  <c r="G13" i="1"/>
  <c r="H13" i="1" s="1"/>
  <c r="G12" i="1"/>
  <c r="H12" i="1" s="1"/>
  <c r="L12" i="1"/>
  <c r="M12" i="1" s="1"/>
  <c r="G11" i="1"/>
  <c r="H11" i="1" s="1"/>
  <c r="L11" i="1"/>
  <c r="M11" i="1" s="1"/>
  <c r="G10" i="1"/>
  <c r="H10" i="1" s="1"/>
  <c r="L10" i="1"/>
  <c r="M10" i="1" s="1"/>
  <c r="G49" i="1"/>
  <c r="H49" i="1" s="1"/>
  <c r="G55" i="1"/>
  <c r="H55" i="1" s="1"/>
  <c r="L21" i="1"/>
  <c r="M21" i="1" s="1"/>
  <c r="L29" i="1"/>
  <c r="M29" i="1" s="1"/>
  <c r="L25" i="1"/>
  <c r="M25" i="1" s="1"/>
  <c r="G62" i="1"/>
  <c r="H62" i="1" s="1"/>
  <c r="G64" i="1"/>
  <c r="H64" i="1" s="1"/>
  <c r="G63" i="1"/>
  <c r="H63" i="1" s="1"/>
  <c r="G61" i="1"/>
  <c r="H61" i="1" s="1"/>
  <c r="G50" i="1"/>
  <c r="H50" i="1" s="1"/>
  <c r="G41" i="1"/>
  <c r="H41" i="1" s="1"/>
  <c r="G31" i="1"/>
  <c r="H31" i="1" s="1"/>
  <c r="G60" i="1"/>
  <c r="H60" i="1" s="1"/>
  <c r="G59" i="1"/>
  <c r="H59" i="1" s="1"/>
  <c r="G58" i="1"/>
  <c r="H58" i="1" s="1"/>
  <c r="G57" i="1"/>
  <c r="H57" i="1" s="1"/>
  <c r="G40" i="1"/>
  <c r="H40" i="1" s="1"/>
  <c r="G56" i="1"/>
  <c r="H56" i="1" s="1"/>
  <c r="G52" i="1"/>
  <c r="H52" i="1" s="1"/>
  <c r="G51" i="1"/>
  <c r="H51" i="1" s="1"/>
  <c r="G42" i="1"/>
  <c r="H42" i="1" s="1"/>
  <c r="G30" i="1"/>
  <c r="H30" i="1" s="1"/>
  <c r="G48" i="1"/>
  <c r="H48" i="1" s="1"/>
  <c r="G47" i="1"/>
  <c r="H47" i="1" s="1"/>
  <c r="G46" i="1"/>
  <c r="H46" i="1" s="1"/>
  <c r="G45" i="1"/>
  <c r="H45" i="1" s="1"/>
  <c r="G44" i="1"/>
  <c r="H44" i="1" s="1"/>
  <c r="G43" i="1"/>
  <c r="H43" i="1" s="1"/>
  <c r="G32" i="1"/>
  <c r="H32" i="1" s="1"/>
  <c r="G39" i="1"/>
  <c r="H39" i="1" s="1"/>
  <c r="G33" i="1"/>
  <c r="H33" i="1" s="1"/>
</calcChain>
</file>

<file path=xl/sharedStrings.xml><?xml version="1.0" encoding="utf-8"?>
<sst xmlns="http://schemas.openxmlformats.org/spreadsheetml/2006/main" count="121" uniqueCount="107">
  <si>
    <t>TP6 OE7. Impedancia de transferencia de puntas de corriente</t>
  </si>
  <si>
    <t>Nivel del generador por defecto (dBm)</t>
  </si>
  <si>
    <t>Pérdida de cables y JIG, L (dB)</t>
  </si>
  <si>
    <t>20·log10(50 Ω) (dB)</t>
  </si>
  <si>
    <t>Umbral de margen sobre el piso (dB)</t>
  </si>
  <si>
    <t>Frecuencia y generador</t>
  </si>
  <si>
    <t>Punta A</t>
  </si>
  <si>
    <t>Punta B</t>
  </si>
  <si>
    <t>Método CISPR con V1 medida (opcional)</t>
  </si>
  <si>
    <t>Hoja de datos (opcional)</t>
  </si>
  <si>
    <t>N°</t>
  </si>
  <si>
    <t>f (MHz)</t>
  </si>
  <si>
    <t>P_gen (dBm)</t>
  </si>
  <si>
    <t>P_SA A (dBm)</t>
  </si>
  <si>
    <t>Piso A (dBm)</t>
  </si>
  <si>
    <t>Margen A (dB)</t>
  </si>
  <si>
    <t>Zt A (dBΩ)</t>
  </si>
  <si>
    <t>Zt A (Ω)</t>
  </si>
  <si>
    <t>P_SA B (dBm)</t>
  </si>
  <si>
    <t>Piso B (dBm)</t>
  </si>
  <si>
    <t>Margen B (dB)</t>
  </si>
  <si>
    <t>Zt B (dBΩ)</t>
  </si>
  <si>
    <t>Zt B (Ω)</t>
  </si>
  <si>
    <t>P_V1 con A (dBm)</t>
  </si>
  <si>
    <t>Zt A con V1 (dBΩ)</t>
  </si>
  <si>
    <t>P_V1 con B (dBm)</t>
  </si>
  <si>
    <t>Zt B con V1 (dBΩ)</t>
  </si>
  <si>
    <t>Zt hoja A (dBΩ)</t>
  </si>
  <si>
    <t>Zt hoja B (dBΩ)</t>
  </si>
  <si>
    <t>Notas</t>
  </si>
  <si>
    <t>Cómo usar la planilla</t>
  </si>
  <si>
    <t>Las celdas amarillas se completan a mano. Las blancas tienen fórmulas y no se tocan.</t>
  </si>
  <si>
    <t>P_gen toma el valor de G3. Para cambiarlo en una frecuencia, escribir el número encima de la fórmula de esa fila.</t>
  </si>
  <si>
    <t>Zt (dBΩ) = P_SA − P_gen + 20·log10(50) + L. Zt (Ω) = 10^(Zt dBΩ / 20).</t>
  </si>
  <si>
    <t>Debajo de 100 kHz el DSG830 entrega como máximo +5 dBm. Con 0 dBm en G3 se cubre todo el rango con el mismo nivel.</t>
  </si>
  <si>
    <t>L es la suma de la pérdida del cable generador-JIG y del cable punta-analizador. Va positiva.</t>
  </si>
  <si>
    <t>Ejemplo de carga: P_gen = 0 dBm, P_SA = −40,2 dBm, piso = −112,5 dBm. Da margen de 72,3 dB y Zt = −6,2 dBΩ (0,489 Ω).</t>
  </si>
  <si>
    <t>El piso se mide con el RF del generador apagado, detector de promedio y el marcador fijo en la frecuencia (sin búsqueda de pico).</t>
  </si>
  <si>
    <t>La celda del margen se pinta de rojo cuando es menor que el umbral de G6.</t>
  </si>
  <si>
    <t>Las celdas con #N/A en gris son filas sin datos. Excel no las grafica.</t>
  </si>
  <si>
    <t>Método CISPR: con la punta puesta y su salida cerrada en 50 Ω, sacar la terminación del JIG y conectar ahí el analizador (nivel de referencia +10 dBm, atenuación 20 dB).</t>
  </si>
  <si>
    <t>Usar el mismo cable al analizador en las dos mediciones. Zt = P_SA − P_V1 + 20·log10(50). No depende del nivel del generador ni de L.</t>
  </si>
  <si>
    <t>Hoja de datos: cargar la Zt del fabricante en dBΩ. Si la hoja da el factor de corrección en dB(µA/µV), cargarlo con el signo cambiado.</t>
  </si>
  <si>
    <t>Datos del ensayo</t>
  </si>
  <si>
    <t>Campo</t>
  </si>
  <si>
    <t>Valor</t>
  </si>
  <si>
    <t>Referencia o valor recomendado</t>
  </si>
  <si>
    <t>General</t>
  </si>
  <si>
    <t>Fecha</t>
  </si>
  <si>
    <t>Lugar</t>
  </si>
  <si>
    <t>Laboratorio de Gustavo Fano</t>
  </si>
  <si>
    <t>Operadores</t>
  </si>
  <si>
    <t>Martín Ledesma</t>
  </si>
  <si>
    <t>Temperatura ambiente (°C)</t>
  </si>
  <si>
    <t>Modelo</t>
  </si>
  <si>
    <t>Rango declarado</t>
  </si>
  <si>
    <t>9 kHz a 90 MHz</t>
  </si>
  <si>
    <t>Generador</t>
  </si>
  <si>
    <t>RIGOL DSG830</t>
  </si>
  <si>
    <t>Nivel por defecto (dBm)</t>
  </si>
  <si>
    <t>Se cambia en la hoja Medición, celda G3</t>
  </si>
  <si>
    <t>Apagada</t>
  </si>
  <si>
    <t>Analizador de espectro</t>
  </si>
  <si>
    <t>Siglent SSA3032X</t>
  </si>
  <si>
    <t>1 kHz (100 Hz o menos debajo de 100 kHz)</t>
  </si>
  <si>
    <t>10 kHz (1 kHz debajo de 100 kHz), centrado en la frecuencia del generador</t>
  </si>
  <si>
    <t>Nivel de referencia</t>
  </si>
  <si>
    <t>−10 dBm (+10 dBm para medir V1)</t>
  </si>
  <si>
    <t>Atenuación de entrada</t>
  </si>
  <si>
    <t>10 dB (20 dB para medir V1)</t>
  </si>
  <si>
    <t>Preamplificador</t>
  </si>
  <si>
    <t>Apagado</t>
  </si>
  <si>
    <t>Detector con señal</t>
  </si>
  <si>
    <t>Pico positivo, búsqueda de pico</t>
  </si>
  <si>
    <t>Detector para el piso</t>
  </si>
  <si>
    <t>Promedio (RMS), 10 promedios, marcador fijo</t>
  </si>
  <si>
    <t>JIG y cables</t>
  </si>
  <si>
    <t>Descripción del JIG</t>
  </si>
  <si>
    <t>RG58 con un tramo de 10 cm donde se separan vivo y malla, a 5 cm entre sí. La punta rodea un solo conductor. Los dos se juntan en una terminación de 50 Ω.</t>
  </si>
  <si>
    <t>Conductor abrazado</t>
  </si>
  <si>
    <t>Vivo (recomendado)</t>
  </si>
  <si>
    <t>Posición de la punta en el tramo</t>
  </si>
  <si>
    <t>Marcarla y repetirla en las dos puntas</t>
  </si>
  <si>
    <t>Terminación de 50 Ω (modelo)</t>
  </si>
  <si>
    <t>Cable generador-JIG (largo y tipo)</t>
  </si>
  <si>
    <t>Cable punta-analizador (largo y tipo)</t>
  </si>
  <si>
    <t>Se cambia en la hoja Medición, celda G4</t>
  </si>
  <si>
    <t>Observaciones</t>
  </si>
  <si>
    <t>9kHz a 90MHz</t>
  </si>
  <si>
    <t>Punta Circular</t>
  </si>
  <si>
    <t>Punta cuadrada con apertura</t>
  </si>
  <si>
    <t>RBW 1MHz - 150MHz</t>
  </si>
  <si>
    <t>RBW 9kHz - 1MHz</t>
  </si>
  <si>
    <t>100 Hz</t>
  </si>
  <si>
    <t>100 kHz</t>
  </si>
  <si>
    <t>VBW 9kHz - 1MHz</t>
  </si>
  <si>
    <t>VBW 1MHz - 150MHz</t>
  </si>
  <si>
    <t>Span 9kHz - 1MHz</t>
  </si>
  <si>
    <t>100kHz</t>
  </si>
  <si>
    <t>100MHz</t>
  </si>
  <si>
    <t>Span 1MHz - 150MHz</t>
  </si>
  <si>
    <t>20dB</t>
  </si>
  <si>
    <t>0dBm</t>
  </si>
  <si>
    <t>Vivo</t>
  </si>
  <si>
    <t>Punto medio</t>
  </si>
  <si>
    <t>RG213 de 1m</t>
  </si>
  <si>
    <t>La punta cuadrada es poco repetible, ya que depende mucho de que tan buen contacto hagan los entrehierros. Incluso dejando la punta fija con cinta, el más minimo movimiento de la punta afecta la lectura. Todas las mediciones se hicieron con una posicion fija y sin mover la punta.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</si>
</sst>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7" x14ac:knownFonts="1">
    <font>
      <sz val="11"/>
      <color theme="1"/>
      <name val="Calibri"/>
      <family val="2"/>
      <scheme val="minor"/>
    </font>
    <font>
      <b/>
      <sz val="14"/>
      <name val="Arial"/>
    </font>
    <font>
      <b/>
      <sz val="10"/>
      <name val="Arial"/>
    </font>
    <font>
      <sz val="10"/>
      <color rgb="FF0000FF"/>
      <name val="Arial"/>
    </font>
    <font>
      <sz val="10"/>
      <name val="Arial"/>
    </font>
    <font>
      <sz val="10"/>
      <color rgb="FF595959"/>
      <name val="Arial"/>
    </font>
    <font>
      <sz val="10"/>
      <color rgb="FF008000"/>
      <name val="Arial"/>
    </font>
  </fonts>
  <fills count="7">
    <fill>
      <patternFill patternType="none"/>
    </fill>
    <fill>
      <patternFill patternType="gray125"/>
    </fill>
    <fill>
      <patternFill patternType="solid">
        <fgColor rgb="FFFFF2CC"/>
      </patternFill>
    </fill>
    <fill>
      <patternFill patternType="solid">
        <fgColor rgb="FFE7E6E6"/>
      </patternFill>
    </fill>
    <fill>
      <patternFill patternType="solid">
        <fgColor rgb="FFDCE9F8"/>
      </patternFill>
    </fill>
    <fill>
      <patternFill patternType="solid">
        <fgColor rgb="FFFBE3D8"/>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164" fontId="3" fillId="2" borderId="1" xfId="0" applyNumberFormat="1" applyFont="1" applyFill="1" applyBorder="1"/>
    <xf numFmtId="2" fontId="3" fillId="2" borderId="1" xfId="0" applyNumberFormat="1" applyFont="1" applyFill="1" applyBorder="1"/>
    <xf numFmtId="2" fontId="4" fillId="0" borderId="1" xfId="0" applyNumberFormat="1" applyFont="1" applyBorder="1"/>
    <xf numFmtId="1" fontId="3" fillId="2" borderId="1" xfId="0" applyNumberFormat="1" applyFont="1" applyFill="1" applyBorder="1"/>
    <xf numFmtId="0" fontId="2" fillId="3" borderId="0" xfId="0" applyFont="1" applyFill="1" applyAlignment="1">
      <alignment horizontal="center" vertical="center" wrapText="1"/>
    </xf>
    <xf numFmtId="0" fontId="2" fillId="3" borderId="1" xfId="0" applyFont="1" applyFill="1" applyBorder="1" applyAlignment="1">
      <alignment horizontal="center" vertical="center" wrapText="1"/>
    </xf>
    <xf numFmtId="1" fontId="4"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164" fontId="4" fillId="0" borderId="1" xfId="0" applyNumberFormat="1" applyFont="1" applyBorder="1"/>
    <xf numFmtId="166" fontId="4" fillId="0" borderId="1" xfId="0" applyNumberFormat="1" applyFont="1" applyBorder="1"/>
    <xf numFmtId="0" fontId="3" fillId="2" borderId="1" xfId="0" applyFont="1" applyFill="1" applyBorder="1"/>
    <xf numFmtId="0" fontId="4" fillId="0" borderId="1" xfId="0" applyFont="1" applyBorder="1" applyAlignment="1">
      <alignment horizontal="center" vertical="center" wrapText="1"/>
    </xf>
    <xf numFmtId="0" fontId="4" fillId="0" borderId="0" xfId="0" applyFont="1"/>
    <xf numFmtId="0" fontId="2" fillId="3" borderId="0" xfId="0" applyFont="1" applyFill="1"/>
    <xf numFmtId="0" fontId="4" fillId="0" borderId="1" xfId="0" applyFont="1" applyBorder="1"/>
    <xf numFmtId="14" fontId="3" fillId="2" borderId="1" xfId="0" applyNumberFormat="1" applyFont="1" applyFill="1" applyBorder="1" applyAlignment="1">
      <alignment vertical="top" wrapText="1"/>
    </xf>
    <xf numFmtId="0" fontId="5" fillId="0" borderId="1" xfId="0" applyFont="1" applyBorder="1"/>
    <xf numFmtId="0" fontId="3" fillId="2" borderId="1" xfId="0" applyFont="1" applyFill="1" applyBorder="1" applyAlignment="1">
      <alignment vertical="top" wrapText="1"/>
    </xf>
    <xf numFmtId="164" fontId="6" fillId="0" borderId="1" xfId="0" applyNumberFormat="1" applyFont="1" applyBorder="1" applyAlignment="1">
      <alignment horizontal="left"/>
    </xf>
    <xf numFmtId="0" fontId="4" fillId="0" borderId="2" xfId="0" applyFont="1" applyBorder="1"/>
    <xf numFmtId="2" fontId="6" fillId="0" borderId="1" xfId="0" applyNumberFormat="1" applyFont="1" applyBorder="1" applyAlignment="1">
      <alignment horizontal="left"/>
    </xf>
    <xf numFmtId="0" fontId="2" fillId="0" borderId="0" xfId="0" applyFont="1"/>
    <xf numFmtId="0" fontId="0" fillId="0" borderId="0" xfId="0"/>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4" borderId="0" xfId="0" applyFont="1" applyFill="1" applyAlignment="1">
      <alignment horizontal="center" vertical="center" wrapText="1"/>
    </xf>
    <xf numFmtId="0" fontId="2" fillId="3" borderId="0" xfId="0" applyFont="1" applyFill="1" applyAlignment="1">
      <alignment horizontal="center" vertical="center" wrapText="1"/>
    </xf>
  </cellXfs>
  <cellStyles count="1">
    <cellStyle name="Normal" xfId="0" builtinId="0"/>
  </cellStyles>
  <dxfs count="6">
    <dxf>
      <font>
        <sz val="10"/>
        <color rgb="FFD9D9D9"/>
        <name val="Arial"/>
      </font>
    </dxf>
    <dxf>
      <font>
        <sz val="10"/>
        <color rgb="FFD9D9D9"/>
        <name val="Arial"/>
      </font>
    </dxf>
    <dxf>
      <font>
        <sz val="10"/>
        <color rgb="FFD9D9D9"/>
        <name val="Arial"/>
      </font>
    </dxf>
    <dxf>
      <fill>
        <patternFill patternType="solid">
          <fgColor rgb="FFF8D0D0"/>
        </patternFill>
      </fill>
    </dxf>
    <dxf>
      <font>
        <sz val="10"/>
        <color rgb="FFD9D9D9"/>
        <name val="Arial"/>
      </font>
    </dxf>
    <dxf>
      <fill>
        <patternFill patternType="solid">
          <fgColor rgb="FFF8D0D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Impedancia de transferencia de las puntas A y B</a:t>
            </a:r>
          </a:p>
        </c:rich>
      </c:tx>
      <c:overlay val="0"/>
    </c:title>
    <c:autoTitleDeleted val="0"/>
    <c:plotArea>
      <c:layout/>
      <c:scatterChart>
        <c:scatterStyle val="lineMarker"/>
        <c:varyColors val="1"/>
        <c:ser>
          <c:idx val="6"/>
          <c:order val="0"/>
          <c:tx>
            <c:v>Punta A</c:v>
          </c:tx>
          <c:spPr>
            <a:ln w="22000">
              <a:solidFill>
                <a:srgbClr val="2A78D6"/>
              </a:solid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Medición!$G$10:$G$64</c:f>
              <c:numCache>
                <c:formatCode>0.0</c:formatCode>
                <c:ptCount val="55"/>
                <c:pt idx="0">
                  <c:v>6.3094000867203741</c:v>
                </c:pt>
                <c:pt idx="1">
                  <c:v>5.8094000867203741</c:v>
                </c:pt>
                <c:pt idx="2">
                  <c:v>5.9094000867203755</c:v>
                </c:pt>
                <c:pt idx="3">
                  <c:v>5.5094000867203734</c:v>
                </c:pt>
                <c:pt idx="4">
                  <c:v>4.7094000867203762</c:v>
                </c:pt>
                <c:pt idx="5">
                  <c:v>4.2094000867203762</c:v>
                </c:pt>
                <c:pt idx="6">
                  <c:v>3.8094000867203741</c:v>
                </c:pt>
                <c:pt idx="7">
                  <c:v>3.7094000867203762</c:v>
                </c:pt>
                <c:pt idx="8">
                  <c:v>3.7094000867203762</c:v>
                </c:pt>
                <c:pt idx="9">
                  <c:v>3.6094000867203748</c:v>
                </c:pt>
                <c:pt idx="10">
                  <c:v>3.4094000867203755</c:v>
                </c:pt>
                <c:pt idx="11">
                  <c:v>3.3094000867203741</c:v>
                </c:pt>
                <c:pt idx="12">
                  <c:v>3.4094000867203755</c:v>
                </c:pt>
                <c:pt idx="13">
                  <c:v>3.4094000867203755</c:v>
                </c:pt>
                <c:pt idx="14">
                  <c:v>3.4094000867203755</c:v>
                </c:pt>
                <c:pt idx="15">
                  <c:v>3.6094000867203748</c:v>
                </c:pt>
                <c:pt idx="16">
                  <c:v>3.6094000867203748</c:v>
                </c:pt>
                <c:pt idx="17">
                  <c:v>3.6094000867203748</c:v>
                </c:pt>
                <c:pt idx="18">
                  <c:v>3.5094000867203734</c:v>
                </c:pt>
                <c:pt idx="19">
                  <c:v>3.5094000867203734</c:v>
                </c:pt>
                <c:pt idx="20">
                  <c:v>3.4094000867203755</c:v>
                </c:pt>
                <c:pt idx="21">
                  <c:v>3.1094000867203748</c:v>
                </c:pt>
                <c:pt idx="22">
                  <c:v>2.9094000867203755</c:v>
                </c:pt>
                <c:pt idx="23">
                  <c:v>2.9094000867203755</c:v>
                </c:pt>
                <c:pt idx="24">
                  <c:v>3.4094000867203755</c:v>
                </c:pt>
                <c:pt idx="25">
                  <c:v>3.3094000867203741</c:v>
                </c:pt>
                <c:pt idx="26">
                  <c:v>3.1094000867203748</c:v>
                </c:pt>
                <c:pt idx="27">
                  <c:v>3.1094000867203748</c:v>
                </c:pt>
                <c:pt idx="28">
                  <c:v>3.5094000867203734</c:v>
                </c:pt>
                <c:pt idx="29">
                  <c:v>3.2094000867203762</c:v>
                </c:pt>
                <c:pt idx="30">
                  <c:v>3.4094000867203755</c:v>
                </c:pt>
                <c:pt idx="31">
                  <c:v>3.9094000867203755</c:v>
                </c:pt>
                <c:pt idx="32">
                  <c:v>4.4094000867203755</c:v>
                </c:pt>
                <c:pt idx="33">
                  <c:v>4.1094000867203748</c:v>
                </c:pt>
                <c:pt idx="34">
                  <c:v>4.7094000867203762</c:v>
                </c:pt>
                <c:pt idx="35">
                  <c:v>5.1094000867203748</c:v>
                </c:pt>
                <c:pt idx="36">
                  <c:v>6.1094000867203748</c:v>
                </c:pt>
                <c:pt idx="37">
                  <c:v>7.1094000867203748</c:v>
                </c:pt>
                <c:pt idx="38">
                  <c:v>7.9094000867203755</c:v>
                </c:pt>
                <c:pt idx="39">
                  <c:v>8.0094000867203743</c:v>
                </c:pt>
                <c:pt idx="40">
                  <c:v>8.309400086720375</c:v>
                </c:pt>
                <c:pt idx="41">
                  <c:v>7.8094000867203741</c:v>
                </c:pt>
                <c:pt idx="42">
                  <c:v>8.309400086720375</c:v>
                </c:pt>
                <c:pt idx="43">
                  <c:v>7.6094000867203748</c:v>
                </c:pt>
                <c:pt idx="44">
                  <c:v>4.4094000867203755</c:v>
                </c:pt>
                <c:pt idx="45">
                  <c:v>-0.89059991327962507</c:v>
                </c:pt>
                <c:pt idx="46">
                  <c:v>-3.1905999132796223</c:v>
                </c:pt>
                <c:pt idx="47">
                  <c:v>-2.4905999132796266</c:v>
                </c:pt>
                <c:pt idx="48">
                  <c:v>-2.4905999132796266</c:v>
                </c:pt>
                <c:pt idx="49">
                  <c:v>-2.4905999132796266</c:v>
                </c:pt>
                <c:pt idx="50">
                  <c:v>-4.090599913279628</c:v>
                </c:pt>
                <c:pt idx="51">
                  <c:v>-3.1905999132796223</c:v>
                </c:pt>
                <c:pt idx="52">
                  <c:v>-13.890599913279624</c:v>
                </c:pt>
                <c:pt idx="53">
                  <c:v>-1.3905999132796252</c:v>
                </c:pt>
                <c:pt idx="54">
                  <c:v>-3.090599913279628</c:v>
                </c:pt>
              </c:numCache>
            </c:numRef>
          </c:yVal>
          <c:smooth val="0"/>
          <c:extLst>
            <c:ext xmlns:c16="http://schemas.microsoft.com/office/drawing/2014/chart" uri="{C3380CC4-5D6E-409C-BE32-E72D297353CC}">
              <c16:uniqueId val="{00000012-77E0-4940-8DBA-D92E98F4E65F}"/>
            </c:ext>
          </c:extLst>
        </c:ser>
        <c:ser>
          <c:idx val="7"/>
          <c:order val="1"/>
          <c:tx>
            <c:v>Punta B</c:v>
          </c:tx>
          <c:spPr>
            <a:ln w="22000">
              <a:solidFill>
                <a:srgbClr val="EB6834"/>
              </a:solid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Medición!$L$10:$L$64</c:f>
              <c:numCache>
                <c:formatCode>0.0</c:formatCode>
                <c:ptCount val="55"/>
                <c:pt idx="0">
                  <c:v>-14.790599913279623</c:v>
                </c:pt>
                <c:pt idx="1">
                  <c:v>-11.890599913279624</c:v>
                </c:pt>
                <c:pt idx="2">
                  <c:v>-8.3905999132796243</c:v>
                </c:pt>
                <c:pt idx="3">
                  <c:v>-6.1905999132796223</c:v>
                </c:pt>
                <c:pt idx="4">
                  <c:v>-4.6905999132796223</c:v>
                </c:pt>
                <c:pt idx="5">
                  <c:v>-3.0005999132796246</c:v>
                </c:pt>
                <c:pt idx="6">
                  <c:v>-1.2905999132796238</c:v>
                </c:pt>
                <c:pt idx="7">
                  <c:v>0.30940008672037778</c:v>
                </c:pt>
                <c:pt idx="8">
                  <c:v>2.0094000867203734</c:v>
                </c:pt>
                <c:pt idx="9">
                  <c:v>3.4094000867203755</c:v>
                </c:pt>
                <c:pt idx="10">
                  <c:v>4.3094000867203741</c:v>
                </c:pt>
                <c:pt idx="11">
                  <c:v>5.2094000867203762</c:v>
                </c:pt>
                <c:pt idx="12">
                  <c:v>6.0094000867203734</c:v>
                </c:pt>
                <c:pt idx="13">
                  <c:v>6.6094000867203748</c:v>
                </c:pt>
                <c:pt idx="14">
                  <c:v>7.0094000867203734</c:v>
                </c:pt>
                <c:pt idx="15">
                  <c:v>7.4094000867203755</c:v>
                </c:pt>
                <c:pt idx="16">
                  <c:v>7.7094000867203762</c:v>
                </c:pt>
                <c:pt idx="17">
                  <c:v>7.8094000867203741</c:v>
                </c:pt>
                <c:pt idx="18">
                  <c:v>7.8094000867203741</c:v>
                </c:pt>
                <c:pt idx="19">
                  <c:v>7.8094000867203741</c:v>
                </c:pt>
                <c:pt idx="20">
                  <c:v>7.8094000867203741</c:v>
                </c:pt>
                <c:pt idx="21">
                  <c:v>7.7094000867203762</c:v>
                </c:pt>
                <c:pt idx="22">
                  <c:v>7.4094000867203755</c:v>
                </c:pt>
                <c:pt idx="23">
                  <c:v>7.4094000867203755</c:v>
                </c:pt>
                <c:pt idx="24">
                  <c:v>7.7094000867203762</c:v>
                </c:pt>
                <c:pt idx="25">
                  <c:v>7.7094000867203762</c:v>
                </c:pt>
                <c:pt idx="26">
                  <c:v>7.5094000867203734</c:v>
                </c:pt>
                <c:pt idx="27">
                  <c:v>7.5094000867203734</c:v>
                </c:pt>
                <c:pt idx="28">
                  <c:v>7.7094000867203762</c:v>
                </c:pt>
                <c:pt idx="29">
                  <c:v>7.2094000867203762</c:v>
                </c:pt>
                <c:pt idx="30">
                  <c:v>6.6094000867203748</c:v>
                </c:pt>
                <c:pt idx="31">
                  <c:v>6.2094000867203762</c:v>
                </c:pt>
                <c:pt idx="32">
                  <c:v>4.7094000867203762</c:v>
                </c:pt>
                <c:pt idx="33">
                  <c:v>4.6094000867203748</c:v>
                </c:pt>
                <c:pt idx="34">
                  <c:v>4.3094000867203741</c:v>
                </c:pt>
                <c:pt idx="35">
                  <c:v>4.1094000867203748</c:v>
                </c:pt>
                <c:pt idx="36">
                  <c:v>4.0094000867203734</c:v>
                </c:pt>
                <c:pt idx="37">
                  <c:v>4.1094000867203748</c:v>
                </c:pt>
                <c:pt idx="38">
                  <c:v>4.0094000867203734</c:v>
                </c:pt>
                <c:pt idx="39">
                  <c:v>3.0094000867203734</c:v>
                </c:pt>
                <c:pt idx="40">
                  <c:v>1.6094000867203748</c:v>
                </c:pt>
                <c:pt idx="41">
                  <c:v>-1.3905999132796252</c:v>
                </c:pt>
                <c:pt idx="42">
                  <c:v>-1.9905999132796266</c:v>
                </c:pt>
                <c:pt idx="43">
                  <c:v>6.5094000867203734</c:v>
                </c:pt>
                <c:pt idx="44">
                  <c:v>9.1094000867203757</c:v>
                </c:pt>
                <c:pt idx="45">
                  <c:v>8.0094000867203743</c:v>
                </c:pt>
                <c:pt idx="46">
                  <c:v>7.1094000867203748</c:v>
                </c:pt>
                <c:pt idx="47">
                  <c:v>-0.39059991327962507</c:v>
                </c:pt>
                <c:pt idx="48">
                  <c:v>-3.2905999132796238</c:v>
                </c:pt>
                <c:pt idx="49">
                  <c:v>-5.8905999132796252</c:v>
                </c:pt>
                <c:pt idx="50">
                  <c:v>-5.3905999132796252</c:v>
                </c:pt>
                <c:pt idx="51">
                  <c:v>-4.2905999132796238</c:v>
                </c:pt>
                <c:pt idx="52">
                  <c:v>-2.8905999132796252</c:v>
                </c:pt>
                <c:pt idx="53">
                  <c:v>-8.6905999132796214</c:v>
                </c:pt>
                <c:pt idx="54">
                  <c:v>-4.590599913279628</c:v>
                </c:pt>
              </c:numCache>
            </c:numRef>
          </c:yVal>
          <c:smooth val="0"/>
          <c:extLst>
            <c:ext xmlns:c16="http://schemas.microsoft.com/office/drawing/2014/chart" uri="{C3380CC4-5D6E-409C-BE32-E72D297353CC}">
              <c16:uniqueId val="{00000013-77E0-4940-8DBA-D92E98F4E65F}"/>
            </c:ext>
          </c:extLst>
        </c:ser>
        <c:ser>
          <c:idx val="8"/>
          <c:order val="2"/>
          <c:tx>
            <c:v>Punta A con V1</c:v>
          </c:tx>
          <c:spPr>
            <a:ln>
              <a:no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Medición!$O$10:$O$64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14-77E0-4940-8DBA-D92E98F4E65F}"/>
            </c:ext>
          </c:extLst>
        </c:ser>
        <c:ser>
          <c:idx val="9"/>
          <c:order val="3"/>
          <c:tx>
            <c:v>Punta B con V1</c:v>
          </c:tx>
          <c:spPr>
            <a:ln>
              <a:no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Medición!$Q$10:$Q$64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15-77E0-4940-8DBA-D92E98F4E65F}"/>
            </c:ext>
          </c:extLst>
        </c:ser>
        <c:ser>
          <c:idx val="10"/>
          <c:order val="4"/>
          <c:tx>
            <c:v>Hoja de datos A</c:v>
          </c:tx>
          <c:spPr>
            <a:ln w="22000">
              <a:solidFill>
                <a:srgbClr val="2A78D6"/>
              </a:solidFill>
              <a:prstDash val="dash"/>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Medición!$R$10:$R$64</c:f>
              <c:numCache>
                <c:formatCode>0.0</c:formatCode>
                <c:ptCount val="55"/>
              </c:numCache>
            </c:numRef>
          </c:yVal>
          <c:smooth val="0"/>
          <c:extLst>
            <c:ext xmlns:c16="http://schemas.microsoft.com/office/drawing/2014/chart" uri="{C3380CC4-5D6E-409C-BE32-E72D297353CC}">
              <c16:uniqueId val="{00000016-77E0-4940-8DBA-D92E98F4E65F}"/>
            </c:ext>
          </c:extLst>
        </c:ser>
        <c:ser>
          <c:idx val="11"/>
          <c:order val="5"/>
          <c:tx>
            <c:v>Hoja de datos B</c:v>
          </c:tx>
          <c:spPr>
            <a:ln w="22000">
              <a:solidFill>
                <a:srgbClr val="EB6834"/>
              </a:solidFill>
              <a:prstDash val="dash"/>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Medición!$S$10:$S$64</c:f>
              <c:numCache>
                <c:formatCode>0.0</c:formatCode>
                <c:ptCount val="55"/>
              </c:numCache>
            </c:numRef>
          </c:yVal>
          <c:smooth val="0"/>
          <c:extLst>
            <c:ext xmlns:c16="http://schemas.microsoft.com/office/drawing/2014/chart" uri="{C3380CC4-5D6E-409C-BE32-E72D297353CC}">
              <c16:uniqueId val="{00000017-77E0-4940-8DBA-D92E98F4E65F}"/>
            </c:ext>
          </c:extLst>
        </c:ser>
        <c:ser>
          <c:idx val="0"/>
          <c:order val="6"/>
          <c:tx>
            <c:v>Punta A</c:v>
          </c:tx>
          <c:spPr>
            <a:ln w="22000">
              <a:solidFill>
                <a:srgbClr val="2A78D6"/>
              </a:solidFill>
              <a:prstDash val="solid"/>
            </a:ln>
          </c:spPr>
          <c:marker>
            <c:symbol val="circle"/>
            <c:size val="6"/>
            <c:spPr>
              <a:solidFill>
                <a:srgbClr val="2A78D6"/>
              </a:solidFill>
              <a:ln>
                <a:solidFill>
                  <a:srgbClr val="2A78D6"/>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Medición!$G$10:$G$64</c:f>
              <c:numCache>
                <c:formatCode>0.0</c:formatCode>
                <c:ptCount val="55"/>
                <c:pt idx="0">
                  <c:v>6.3094000867203741</c:v>
                </c:pt>
                <c:pt idx="1">
                  <c:v>5.8094000867203741</c:v>
                </c:pt>
                <c:pt idx="2">
                  <c:v>5.9094000867203755</c:v>
                </c:pt>
                <c:pt idx="3">
                  <c:v>5.5094000867203734</c:v>
                </c:pt>
                <c:pt idx="4">
                  <c:v>4.7094000867203762</c:v>
                </c:pt>
                <c:pt idx="5">
                  <c:v>4.2094000867203762</c:v>
                </c:pt>
                <c:pt idx="6">
                  <c:v>3.8094000867203741</c:v>
                </c:pt>
                <c:pt idx="7">
                  <c:v>3.7094000867203762</c:v>
                </c:pt>
                <c:pt idx="8">
                  <c:v>3.7094000867203762</c:v>
                </c:pt>
                <c:pt idx="9">
                  <c:v>3.6094000867203748</c:v>
                </c:pt>
                <c:pt idx="10">
                  <c:v>3.4094000867203755</c:v>
                </c:pt>
                <c:pt idx="11">
                  <c:v>3.3094000867203741</c:v>
                </c:pt>
                <c:pt idx="12">
                  <c:v>3.4094000867203755</c:v>
                </c:pt>
                <c:pt idx="13">
                  <c:v>3.4094000867203755</c:v>
                </c:pt>
                <c:pt idx="14">
                  <c:v>3.4094000867203755</c:v>
                </c:pt>
                <c:pt idx="15">
                  <c:v>3.6094000867203748</c:v>
                </c:pt>
                <c:pt idx="16">
                  <c:v>3.6094000867203748</c:v>
                </c:pt>
                <c:pt idx="17">
                  <c:v>3.6094000867203748</c:v>
                </c:pt>
                <c:pt idx="18">
                  <c:v>3.5094000867203734</c:v>
                </c:pt>
                <c:pt idx="19">
                  <c:v>3.5094000867203734</c:v>
                </c:pt>
                <c:pt idx="20">
                  <c:v>3.4094000867203755</c:v>
                </c:pt>
                <c:pt idx="21">
                  <c:v>3.1094000867203748</c:v>
                </c:pt>
                <c:pt idx="22">
                  <c:v>2.9094000867203755</c:v>
                </c:pt>
                <c:pt idx="23">
                  <c:v>2.9094000867203755</c:v>
                </c:pt>
                <c:pt idx="24">
                  <c:v>3.4094000867203755</c:v>
                </c:pt>
                <c:pt idx="25">
                  <c:v>3.3094000867203741</c:v>
                </c:pt>
                <c:pt idx="26">
                  <c:v>3.1094000867203748</c:v>
                </c:pt>
                <c:pt idx="27">
                  <c:v>3.1094000867203748</c:v>
                </c:pt>
                <c:pt idx="28">
                  <c:v>3.5094000867203734</c:v>
                </c:pt>
                <c:pt idx="29">
                  <c:v>3.2094000867203762</c:v>
                </c:pt>
                <c:pt idx="30">
                  <c:v>3.4094000867203755</c:v>
                </c:pt>
                <c:pt idx="31">
                  <c:v>3.9094000867203755</c:v>
                </c:pt>
                <c:pt idx="32">
                  <c:v>4.4094000867203755</c:v>
                </c:pt>
                <c:pt idx="33">
                  <c:v>4.1094000867203748</c:v>
                </c:pt>
                <c:pt idx="34">
                  <c:v>4.7094000867203762</c:v>
                </c:pt>
                <c:pt idx="35">
                  <c:v>5.1094000867203748</c:v>
                </c:pt>
                <c:pt idx="36">
                  <c:v>6.1094000867203748</c:v>
                </c:pt>
                <c:pt idx="37">
                  <c:v>7.1094000867203748</c:v>
                </c:pt>
                <c:pt idx="38">
                  <c:v>7.9094000867203755</c:v>
                </c:pt>
                <c:pt idx="39">
                  <c:v>8.0094000867203743</c:v>
                </c:pt>
                <c:pt idx="40">
                  <c:v>8.309400086720375</c:v>
                </c:pt>
                <c:pt idx="41">
                  <c:v>7.8094000867203741</c:v>
                </c:pt>
                <c:pt idx="42">
                  <c:v>8.309400086720375</c:v>
                </c:pt>
                <c:pt idx="43">
                  <c:v>7.6094000867203748</c:v>
                </c:pt>
                <c:pt idx="44">
                  <c:v>4.4094000867203755</c:v>
                </c:pt>
                <c:pt idx="45">
                  <c:v>-0.89059991327962507</c:v>
                </c:pt>
                <c:pt idx="46">
                  <c:v>-3.1905999132796223</c:v>
                </c:pt>
                <c:pt idx="47">
                  <c:v>-2.4905999132796266</c:v>
                </c:pt>
                <c:pt idx="48">
                  <c:v>-2.4905999132796266</c:v>
                </c:pt>
                <c:pt idx="49">
                  <c:v>-2.4905999132796266</c:v>
                </c:pt>
                <c:pt idx="50">
                  <c:v>-4.090599913279628</c:v>
                </c:pt>
                <c:pt idx="51">
                  <c:v>-3.1905999132796223</c:v>
                </c:pt>
                <c:pt idx="52">
                  <c:v>-13.890599913279624</c:v>
                </c:pt>
                <c:pt idx="53">
                  <c:v>-1.3905999132796252</c:v>
                </c:pt>
                <c:pt idx="54">
                  <c:v>-3.090599913279628</c:v>
                </c:pt>
              </c:numCache>
            </c:numRef>
          </c:yVal>
          <c:smooth val="0"/>
          <c:extLst>
            <c:ext xmlns:c16="http://schemas.microsoft.com/office/drawing/2014/chart" uri="{C3380CC4-5D6E-409C-BE32-E72D297353CC}">
              <c16:uniqueId val="{00000007-77E0-4940-8DBA-D92E98F4E65F}"/>
            </c:ext>
          </c:extLst>
        </c:ser>
        <c:ser>
          <c:idx val="1"/>
          <c:order val="7"/>
          <c:tx>
            <c:v>Punta B</c:v>
          </c:tx>
          <c:spPr>
            <a:ln w="22000">
              <a:solidFill>
                <a:srgbClr val="EB6834"/>
              </a:solidFill>
              <a:prstDash val="solid"/>
            </a:ln>
          </c:spPr>
          <c:marker>
            <c:symbol val="circle"/>
            <c:size val="6"/>
            <c:spPr>
              <a:solidFill>
                <a:srgbClr val="EB6834"/>
              </a:solidFill>
              <a:ln>
                <a:solidFill>
                  <a:srgbClr val="EB6834"/>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Medición!$L$10:$L$64</c:f>
              <c:numCache>
                <c:formatCode>0.0</c:formatCode>
                <c:ptCount val="55"/>
                <c:pt idx="0">
                  <c:v>-14.790599913279623</c:v>
                </c:pt>
                <c:pt idx="1">
                  <c:v>-11.890599913279624</c:v>
                </c:pt>
                <c:pt idx="2">
                  <c:v>-8.3905999132796243</c:v>
                </c:pt>
                <c:pt idx="3">
                  <c:v>-6.1905999132796223</c:v>
                </c:pt>
                <c:pt idx="4">
                  <c:v>-4.6905999132796223</c:v>
                </c:pt>
                <c:pt idx="5">
                  <c:v>-3.0005999132796246</c:v>
                </c:pt>
                <c:pt idx="6">
                  <c:v>-1.2905999132796238</c:v>
                </c:pt>
                <c:pt idx="7">
                  <c:v>0.30940008672037778</c:v>
                </c:pt>
                <c:pt idx="8">
                  <c:v>2.0094000867203734</c:v>
                </c:pt>
                <c:pt idx="9">
                  <c:v>3.4094000867203755</c:v>
                </c:pt>
                <c:pt idx="10">
                  <c:v>4.3094000867203741</c:v>
                </c:pt>
                <c:pt idx="11">
                  <c:v>5.2094000867203762</c:v>
                </c:pt>
                <c:pt idx="12">
                  <c:v>6.0094000867203734</c:v>
                </c:pt>
                <c:pt idx="13">
                  <c:v>6.6094000867203748</c:v>
                </c:pt>
                <c:pt idx="14">
                  <c:v>7.0094000867203734</c:v>
                </c:pt>
                <c:pt idx="15">
                  <c:v>7.4094000867203755</c:v>
                </c:pt>
                <c:pt idx="16">
                  <c:v>7.7094000867203762</c:v>
                </c:pt>
                <c:pt idx="17">
                  <c:v>7.8094000867203741</c:v>
                </c:pt>
                <c:pt idx="18">
                  <c:v>7.8094000867203741</c:v>
                </c:pt>
                <c:pt idx="19">
                  <c:v>7.8094000867203741</c:v>
                </c:pt>
                <c:pt idx="20">
                  <c:v>7.8094000867203741</c:v>
                </c:pt>
                <c:pt idx="21">
                  <c:v>7.7094000867203762</c:v>
                </c:pt>
                <c:pt idx="22">
                  <c:v>7.4094000867203755</c:v>
                </c:pt>
                <c:pt idx="23">
                  <c:v>7.4094000867203755</c:v>
                </c:pt>
                <c:pt idx="24">
                  <c:v>7.7094000867203762</c:v>
                </c:pt>
                <c:pt idx="25">
                  <c:v>7.7094000867203762</c:v>
                </c:pt>
                <c:pt idx="26">
                  <c:v>7.5094000867203734</c:v>
                </c:pt>
                <c:pt idx="27">
                  <c:v>7.5094000867203734</c:v>
                </c:pt>
                <c:pt idx="28">
                  <c:v>7.7094000867203762</c:v>
                </c:pt>
                <c:pt idx="29">
                  <c:v>7.2094000867203762</c:v>
                </c:pt>
                <c:pt idx="30">
                  <c:v>6.6094000867203748</c:v>
                </c:pt>
                <c:pt idx="31">
                  <c:v>6.2094000867203762</c:v>
                </c:pt>
                <c:pt idx="32">
                  <c:v>4.7094000867203762</c:v>
                </c:pt>
                <c:pt idx="33">
                  <c:v>4.6094000867203748</c:v>
                </c:pt>
                <c:pt idx="34">
                  <c:v>4.3094000867203741</c:v>
                </c:pt>
                <c:pt idx="35">
                  <c:v>4.1094000867203748</c:v>
                </c:pt>
                <c:pt idx="36">
                  <c:v>4.0094000867203734</c:v>
                </c:pt>
                <c:pt idx="37">
                  <c:v>4.1094000867203748</c:v>
                </c:pt>
                <c:pt idx="38">
                  <c:v>4.0094000867203734</c:v>
                </c:pt>
                <c:pt idx="39">
                  <c:v>3.0094000867203734</c:v>
                </c:pt>
                <c:pt idx="40">
                  <c:v>1.6094000867203748</c:v>
                </c:pt>
                <c:pt idx="41">
                  <c:v>-1.3905999132796252</c:v>
                </c:pt>
                <c:pt idx="42">
                  <c:v>-1.9905999132796266</c:v>
                </c:pt>
                <c:pt idx="43">
                  <c:v>6.5094000867203734</c:v>
                </c:pt>
                <c:pt idx="44">
                  <c:v>9.1094000867203757</c:v>
                </c:pt>
                <c:pt idx="45">
                  <c:v>8.0094000867203743</c:v>
                </c:pt>
                <c:pt idx="46">
                  <c:v>7.1094000867203748</c:v>
                </c:pt>
                <c:pt idx="47">
                  <c:v>-0.39059991327962507</c:v>
                </c:pt>
                <c:pt idx="48">
                  <c:v>-3.2905999132796238</c:v>
                </c:pt>
                <c:pt idx="49">
                  <c:v>-5.8905999132796252</c:v>
                </c:pt>
                <c:pt idx="50">
                  <c:v>-5.3905999132796252</c:v>
                </c:pt>
                <c:pt idx="51">
                  <c:v>-4.2905999132796238</c:v>
                </c:pt>
                <c:pt idx="52">
                  <c:v>-2.8905999132796252</c:v>
                </c:pt>
                <c:pt idx="53">
                  <c:v>-8.6905999132796214</c:v>
                </c:pt>
                <c:pt idx="54">
                  <c:v>-4.590599913279628</c:v>
                </c:pt>
              </c:numCache>
            </c:numRef>
          </c:yVal>
          <c:smooth val="0"/>
          <c:extLst>
            <c:ext xmlns:c16="http://schemas.microsoft.com/office/drawing/2014/chart" uri="{C3380CC4-5D6E-409C-BE32-E72D297353CC}">
              <c16:uniqueId val="{00000009-77E0-4940-8DBA-D92E98F4E65F}"/>
            </c:ext>
          </c:extLst>
        </c:ser>
        <c:ser>
          <c:idx val="2"/>
          <c:order val="8"/>
          <c:tx>
            <c:v>Punta A con V1</c:v>
          </c:tx>
          <c:spPr>
            <a:ln>
              <a:noFill/>
              <a:prstDash val="solid"/>
            </a:ln>
          </c:spPr>
          <c:marker>
            <c:symbol val="triangle"/>
            <c:size val="6"/>
            <c:spPr>
              <a:solidFill>
                <a:srgbClr val="2A78D6"/>
              </a:solidFill>
              <a:ln>
                <a:solidFill>
                  <a:srgbClr val="2A78D6"/>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Medición!$O$10:$O$64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B-77E0-4940-8DBA-D92E98F4E65F}"/>
            </c:ext>
          </c:extLst>
        </c:ser>
        <c:ser>
          <c:idx val="3"/>
          <c:order val="9"/>
          <c:tx>
            <c:v>Punta B con V1</c:v>
          </c:tx>
          <c:spPr>
            <a:ln>
              <a:noFill/>
              <a:prstDash val="solid"/>
            </a:ln>
          </c:spPr>
          <c:marker>
            <c:symbol val="triangle"/>
            <c:size val="6"/>
            <c:spPr>
              <a:solidFill>
                <a:srgbClr val="EB6834"/>
              </a:solidFill>
              <a:ln>
                <a:solidFill>
                  <a:srgbClr val="EB6834"/>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Medición!$Q$10:$Q$64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D-77E0-4940-8DBA-D92E98F4E65F}"/>
            </c:ext>
          </c:extLst>
        </c:ser>
        <c:ser>
          <c:idx val="4"/>
          <c:order val="10"/>
          <c:tx>
            <c:v>Hoja de datos A</c:v>
          </c:tx>
          <c:spPr>
            <a:ln w="22000">
              <a:solidFill>
                <a:srgbClr val="2A78D6"/>
              </a:solidFill>
              <a:prstDash val="dash"/>
            </a:ln>
          </c:spPr>
          <c:marker>
            <c:symbol val="none"/>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Medición!$R$10:$R$64</c:f>
              <c:numCache>
                <c:formatCode>0.0</c:formatCode>
                <c:ptCount val="55"/>
              </c:numCache>
            </c:numRef>
          </c:yVal>
          <c:smooth val="0"/>
          <c:extLst>
            <c:ext xmlns:c16="http://schemas.microsoft.com/office/drawing/2014/chart" uri="{C3380CC4-5D6E-409C-BE32-E72D297353CC}">
              <c16:uniqueId val="{0000000F-77E0-4940-8DBA-D92E98F4E65F}"/>
            </c:ext>
          </c:extLst>
        </c:ser>
        <c:ser>
          <c:idx val="5"/>
          <c:order val="11"/>
          <c:tx>
            <c:v>Hoja de datos B</c:v>
          </c:tx>
          <c:spPr>
            <a:ln w="22000">
              <a:solidFill>
                <a:srgbClr val="EB6834"/>
              </a:solidFill>
              <a:prstDash val="dash"/>
            </a:ln>
          </c:spPr>
          <c:marker>
            <c:symbol val="none"/>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Medición!$S$10:$S$64</c:f>
              <c:numCache>
                <c:formatCode>0.0</c:formatCode>
                <c:ptCount val="55"/>
              </c:numCache>
            </c:numRef>
          </c:yVal>
          <c:smooth val="0"/>
          <c:extLst>
            <c:ext xmlns:c16="http://schemas.microsoft.com/office/drawing/2014/chart" uri="{C3380CC4-5D6E-409C-BE32-E72D297353CC}">
              <c16:uniqueId val="{00000011-77E0-4940-8DBA-D92E98F4E65F}"/>
            </c:ext>
          </c:extLst>
        </c:ser>
        <c:dLbls>
          <c:showLegendKey val="0"/>
          <c:showVal val="0"/>
          <c:showCatName val="0"/>
          <c:showSerName val="0"/>
          <c:showPercent val="0"/>
          <c:showBubbleSize val="0"/>
        </c:dLbls>
        <c:axId val="10"/>
        <c:axId val="20"/>
      </c:scatterChart>
      <c:valAx>
        <c:axId val="10"/>
        <c:scaling>
          <c:logBase val="10"/>
          <c:orientation val="minMax"/>
          <c:max val="200"/>
          <c:min val="0.01"/>
        </c:scaling>
        <c:delete val="0"/>
        <c:axPos val="b"/>
        <c:majorGridlines/>
        <c:minorGridlines>
          <c:spPr>
            <a:ln>
              <a:solidFill>
                <a:srgbClr val="E7E6E6"/>
              </a:solidFill>
              <a:prstDash val="solid"/>
            </a:ln>
          </c:spPr>
        </c:minorGridlines>
        <c:title>
          <c:tx>
            <c:rich>
              <a:bodyPr/>
              <a:lstStyle/>
              <a:p>
                <a:pPr>
                  <a:defRPr/>
                </a:pPr>
                <a:r>
                  <a:rPr lang="en-US"/>
                  <a:t>Frecuencia (MHz)</a:t>
                </a:r>
              </a:p>
            </c:rich>
          </c:tx>
          <c:overlay val="0"/>
        </c:title>
        <c:numFmt formatCode="General" sourceLinked="0"/>
        <c:majorTickMark val="none"/>
        <c:minorTickMark val="none"/>
        <c:tickLblPos val="low"/>
        <c:crossAx val="20"/>
        <c:crosses val="min"/>
        <c:crossBetween val="midCat"/>
      </c:valAx>
      <c:valAx>
        <c:axId val="20"/>
        <c:scaling>
          <c:orientation val="minMax"/>
          <c:max val="9"/>
          <c:min val="2"/>
        </c:scaling>
        <c:delete val="0"/>
        <c:axPos val="l"/>
        <c:majorGridlines/>
        <c:title>
          <c:tx>
            <c:rich>
              <a:bodyPr/>
              <a:lstStyle/>
              <a:p>
                <a:pPr>
                  <a:defRPr/>
                </a:pPr>
                <a:r>
                  <a:rPr lang="en-US"/>
                  <a:t>Zt (dB</a:t>
                </a:r>
                <a:r>
                  <a:rPr lang="el-GR"/>
                  <a:t>Ω)</a:t>
                </a:r>
              </a:p>
            </c:rich>
          </c:tx>
          <c:overlay val="0"/>
        </c:title>
        <c:numFmt formatCode="0" sourceLinked="0"/>
        <c:majorTickMark val="none"/>
        <c:minorTickMark val="none"/>
        <c:tickLblPos val="low"/>
        <c:crossAx val="10"/>
        <c:crosses val="min"/>
        <c:crossBetween val="midCat"/>
      </c:valAx>
    </c:plotArea>
    <c:legend>
      <c:legendPos val="b"/>
      <c:overlay val="0"/>
    </c:legend>
    <c:plotVisOnly val="1"/>
    <c:dispBlanksAs val="span"/>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Impedancia de transferencia de las puntas A y B</a:t>
            </a:r>
          </a:p>
        </c:rich>
      </c:tx>
      <c:overlay val="0"/>
    </c:title>
    <c:autoTitleDeleted val="0"/>
    <c:plotArea>
      <c:layout/>
      <c:scatterChart>
        <c:scatterStyle val="lineMarker"/>
        <c:varyColors val="1"/>
        <c:ser>
          <c:idx val="6"/>
          <c:order val="0"/>
          <c:tx>
            <c:v>Punta A</c:v>
          </c:tx>
          <c:spPr>
            <a:ln w="22000">
              <a:solidFill>
                <a:srgbClr val="2A78D6"/>
              </a:solid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Medición!$G$10:$G$64</c:f>
              <c:numCache>
                <c:formatCode>0.0</c:formatCode>
                <c:ptCount val="55"/>
                <c:pt idx="0">
                  <c:v>6.3094000867203741</c:v>
                </c:pt>
                <c:pt idx="1">
                  <c:v>5.8094000867203741</c:v>
                </c:pt>
                <c:pt idx="2">
                  <c:v>5.9094000867203755</c:v>
                </c:pt>
                <c:pt idx="3">
                  <c:v>5.5094000867203734</c:v>
                </c:pt>
                <c:pt idx="4">
                  <c:v>4.7094000867203762</c:v>
                </c:pt>
                <c:pt idx="5">
                  <c:v>4.2094000867203762</c:v>
                </c:pt>
                <c:pt idx="6">
                  <c:v>3.8094000867203741</c:v>
                </c:pt>
                <c:pt idx="7">
                  <c:v>3.7094000867203762</c:v>
                </c:pt>
                <c:pt idx="8">
                  <c:v>3.7094000867203762</c:v>
                </c:pt>
                <c:pt idx="9">
                  <c:v>3.6094000867203748</c:v>
                </c:pt>
                <c:pt idx="10">
                  <c:v>3.4094000867203755</c:v>
                </c:pt>
                <c:pt idx="11">
                  <c:v>3.3094000867203741</c:v>
                </c:pt>
                <c:pt idx="12">
                  <c:v>3.4094000867203755</c:v>
                </c:pt>
                <c:pt idx="13">
                  <c:v>3.4094000867203755</c:v>
                </c:pt>
                <c:pt idx="14">
                  <c:v>3.4094000867203755</c:v>
                </c:pt>
                <c:pt idx="15">
                  <c:v>3.6094000867203748</c:v>
                </c:pt>
                <c:pt idx="16">
                  <c:v>3.6094000867203748</c:v>
                </c:pt>
                <c:pt idx="17">
                  <c:v>3.6094000867203748</c:v>
                </c:pt>
                <c:pt idx="18">
                  <c:v>3.5094000867203734</c:v>
                </c:pt>
                <c:pt idx="19">
                  <c:v>3.5094000867203734</c:v>
                </c:pt>
                <c:pt idx="20">
                  <c:v>3.4094000867203755</c:v>
                </c:pt>
                <c:pt idx="21">
                  <c:v>3.1094000867203748</c:v>
                </c:pt>
                <c:pt idx="22">
                  <c:v>2.9094000867203755</c:v>
                </c:pt>
                <c:pt idx="23">
                  <c:v>2.9094000867203755</c:v>
                </c:pt>
                <c:pt idx="24">
                  <c:v>3.4094000867203755</c:v>
                </c:pt>
                <c:pt idx="25">
                  <c:v>3.3094000867203741</c:v>
                </c:pt>
                <c:pt idx="26">
                  <c:v>3.1094000867203748</c:v>
                </c:pt>
                <c:pt idx="27">
                  <c:v>3.1094000867203748</c:v>
                </c:pt>
                <c:pt idx="28">
                  <c:v>3.5094000867203734</c:v>
                </c:pt>
                <c:pt idx="29">
                  <c:v>3.2094000867203762</c:v>
                </c:pt>
                <c:pt idx="30">
                  <c:v>3.4094000867203755</c:v>
                </c:pt>
                <c:pt idx="31">
                  <c:v>3.9094000867203755</c:v>
                </c:pt>
                <c:pt idx="32">
                  <c:v>4.4094000867203755</c:v>
                </c:pt>
                <c:pt idx="33">
                  <c:v>4.1094000867203748</c:v>
                </c:pt>
                <c:pt idx="34">
                  <c:v>4.7094000867203762</c:v>
                </c:pt>
                <c:pt idx="35">
                  <c:v>5.1094000867203748</c:v>
                </c:pt>
                <c:pt idx="36">
                  <c:v>6.1094000867203748</c:v>
                </c:pt>
                <c:pt idx="37">
                  <c:v>7.1094000867203748</c:v>
                </c:pt>
                <c:pt idx="38">
                  <c:v>7.9094000867203755</c:v>
                </c:pt>
                <c:pt idx="39">
                  <c:v>8.0094000867203743</c:v>
                </c:pt>
                <c:pt idx="40">
                  <c:v>8.309400086720375</c:v>
                </c:pt>
                <c:pt idx="41">
                  <c:v>7.8094000867203741</c:v>
                </c:pt>
                <c:pt idx="42">
                  <c:v>8.309400086720375</c:v>
                </c:pt>
                <c:pt idx="43">
                  <c:v>7.6094000867203748</c:v>
                </c:pt>
                <c:pt idx="44">
                  <c:v>4.4094000867203755</c:v>
                </c:pt>
                <c:pt idx="45">
                  <c:v>-0.89059991327962507</c:v>
                </c:pt>
                <c:pt idx="46">
                  <c:v>-3.1905999132796223</c:v>
                </c:pt>
                <c:pt idx="47">
                  <c:v>-2.4905999132796266</c:v>
                </c:pt>
                <c:pt idx="48">
                  <c:v>-2.4905999132796266</c:v>
                </c:pt>
                <c:pt idx="49">
                  <c:v>-2.4905999132796266</c:v>
                </c:pt>
                <c:pt idx="50">
                  <c:v>-4.090599913279628</c:v>
                </c:pt>
                <c:pt idx="51">
                  <c:v>-3.1905999132796223</c:v>
                </c:pt>
                <c:pt idx="52">
                  <c:v>-13.890599913279624</c:v>
                </c:pt>
                <c:pt idx="53">
                  <c:v>-1.3905999132796252</c:v>
                </c:pt>
                <c:pt idx="54">
                  <c:v>-3.090599913279628</c:v>
                </c:pt>
              </c:numCache>
            </c:numRef>
          </c:yVal>
          <c:smooth val="0"/>
          <c:extLst>
            <c:ext xmlns:c16="http://schemas.microsoft.com/office/drawing/2014/chart" uri="{C3380CC4-5D6E-409C-BE32-E72D297353CC}">
              <c16:uniqueId val="{00000000-EB20-41C8-8FE9-3F1C925FABB0}"/>
            </c:ext>
          </c:extLst>
        </c:ser>
        <c:ser>
          <c:idx val="7"/>
          <c:order val="1"/>
          <c:tx>
            <c:v>Punta B</c:v>
          </c:tx>
          <c:spPr>
            <a:ln w="22000">
              <a:solidFill>
                <a:srgbClr val="EB6834"/>
              </a:solid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Medición!$L$10:$L$64</c:f>
              <c:numCache>
                <c:formatCode>0.0</c:formatCode>
                <c:ptCount val="55"/>
                <c:pt idx="0">
                  <c:v>-14.790599913279623</c:v>
                </c:pt>
                <c:pt idx="1">
                  <c:v>-11.890599913279624</c:v>
                </c:pt>
                <c:pt idx="2">
                  <c:v>-8.3905999132796243</c:v>
                </c:pt>
                <c:pt idx="3">
                  <c:v>-6.1905999132796223</c:v>
                </c:pt>
                <c:pt idx="4">
                  <c:v>-4.6905999132796223</c:v>
                </c:pt>
                <c:pt idx="5">
                  <c:v>-3.0005999132796246</c:v>
                </c:pt>
                <c:pt idx="6">
                  <c:v>-1.2905999132796238</c:v>
                </c:pt>
                <c:pt idx="7">
                  <c:v>0.30940008672037778</c:v>
                </c:pt>
                <c:pt idx="8">
                  <c:v>2.0094000867203734</c:v>
                </c:pt>
                <c:pt idx="9">
                  <c:v>3.4094000867203755</c:v>
                </c:pt>
                <c:pt idx="10">
                  <c:v>4.3094000867203741</c:v>
                </c:pt>
                <c:pt idx="11">
                  <c:v>5.2094000867203762</c:v>
                </c:pt>
                <c:pt idx="12">
                  <c:v>6.0094000867203734</c:v>
                </c:pt>
                <c:pt idx="13">
                  <c:v>6.6094000867203748</c:v>
                </c:pt>
                <c:pt idx="14">
                  <c:v>7.0094000867203734</c:v>
                </c:pt>
                <c:pt idx="15">
                  <c:v>7.4094000867203755</c:v>
                </c:pt>
                <c:pt idx="16">
                  <c:v>7.7094000867203762</c:v>
                </c:pt>
                <c:pt idx="17">
                  <c:v>7.8094000867203741</c:v>
                </c:pt>
                <c:pt idx="18">
                  <c:v>7.8094000867203741</c:v>
                </c:pt>
                <c:pt idx="19">
                  <c:v>7.8094000867203741</c:v>
                </c:pt>
                <c:pt idx="20">
                  <c:v>7.8094000867203741</c:v>
                </c:pt>
                <c:pt idx="21">
                  <c:v>7.7094000867203762</c:v>
                </c:pt>
                <c:pt idx="22">
                  <c:v>7.4094000867203755</c:v>
                </c:pt>
                <c:pt idx="23">
                  <c:v>7.4094000867203755</c:v>
                </c:pt>
                <c:pt idx="24">
                  <c:v>7.7094000867203762</c:v>
                </c:pt>
                <c:pt idx="25">
                  <c:v>7.7094000867203762</c:v>
                </c:pt>
                <c:pt idx="26">
                  <c:v>7.5094000867203734</c:v>
                </c:pt>
                <c:pt idx="27">
                  <c:v>7.5094000867203734</c:v>
                </c:pt>
                <c:pt idx="28">
                  <c:v>7.7094000867203762</c:v>
                </c:pt>
                <c:pt idx="29">
                  <c:v>7.2094000867203762</c:v>
                </c:pt>
                <c:pt idx="30">
                  <c:v>6.6094000867203748</c:v>
                </c:pt>
                <c:pt idx="31">
                  <c:v>6.2094000867203762</c:v>
                </c:pt>
                <c:pt idx="32">
                  <c:v>4.7094000867203762</c:v>
                </c:pt>
                <c:pt idx="33">
                  <c:v>4.6094000867203748</c:v>
                </c:pt>
                <c:pt idx="34">
                  <c:v>4.3094000867203741</c:v>
                </c:pt>
                <c:pt idx="35">
                  <c:v>4.1094000867203748</c:v>
                </c:pt>
                <c:pt idx="36">
                  <c:v>4.0094000867203734</c:v>
                </c:pt>
                <c:pt idx="37">
                  <c:v>4.1094000867203748</c:v>
                </c:pt>
                <c:pt idx="38">
                  <c:v>4.0094000867203734</c:v>
                </c:pt>
                <c:pt idx="39">
                  <c:v>3.0094000867203734</c:v>
                </c:pt>
                <c:pt idx="40">
                  <c:v>1.6094000867203748</c:v>
                </c:pt>
                <c:pt idx="41">
                  <c:v>-1.3905999132796252</c:v>
                </c:pt>
                <c:pt idx="42">
                  <c:v>-1.9905999132796266</c:v>
                </c:pt>
                <c:pt idx="43">
                  <c:v>6.5094000867203734</c:v>
                </c:pt>
                <c:pt idx="44">
                  <c:v>9.1094000867203757</c:v>
                </c:pt>
                <c:pt idx="45">
                  <c:v>8.0094000867203743</c:v>
                </c:pt>
                <c:pt idx="46">
                  <c:v>7.1094000867203748</c:v>
                </c:pt>
                <c:pt idx="47">
                  <c:v>-0.39059991327962507</c:v>
                </c:pt>
                <c:pt idx="48">
                  <c:v>-3.2905999132796238</c:v>
                </c:pt>
                <c:pt idx="49">
                  <c:v>-5.8905999132796252</c:v>
                </c:pt>
                <c:pt idx="50">
                  <c:v>-5.3905999132796252</c:v>
                </c:pt>
                <c:pt idx="51">
                  <c:v>-4.2905999132796238</c:v>
                </c:pt>
                <c:pt idx="52">
                  <c:v>-2.8905999132796252</c:v>
                </c:pt>
                <c:pt idx="53">
                  <c:v>-8.6905999132796214</c:v>
                </c:pt>
                <c:pt idx="54">
                  <c:v>-4.590599913279628</c:v>
                </c:pt>
              </c:numCache>
            </c:numRef>
          </c:yVal>
          <c:smooth val="0"/>
          <c:extLst>
            <c:ext xmlns:c16="http://schemas.microsoft.com/office/drawing/2014/chart" uri="{C3380CC4-5D6E-409C-BE32-E72D297353CC}">
              <c16:uniqueId val="{00000001-EB20-41C8-8FE9-3F1C925FABB0}"/>
            </c:ext>
          </c:extLst>
        </c:ser>
        <c:ser>
          <c:idx val="8"/>
          <c:order val="2"/>
          <c:tx>
            <c:v>Punta A con V1</c:v>
          </c:tx>
          <c:spPr>
            <a:ln>
              <a:no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Medición!$O$10:$O$64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2-EB20-41C8-8FE9-3F1C925FABB0}"/>
            </c:ext>
          </c:extLst>
        </c:ser>
        <c:ser>
          <c:idx val="9"/>
          <c:order val="3"/>
          <c:tx>
            <c:v>Punta B con V1</c:v>
          </c:tx>
          <c:spPr>
            <a:ln>
              <a:no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Medición!$Q$10:$Q$64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3-EB20-41C8-8FE9-3F1C925FABB0}"/>
            </c:ext>
          </c:extLst>
        </c:ser>
        <c:ser>
          <c:idx val="10"/>
          <c:order val="4"/>
          <c:tx>
            <c:v>Hoja de datos A</c:v>
          </c:tx>
          <c:spPr>
            <a:ln w="22000">
              <a:solidFill>
                <a:srgbClr val="2A78D6"/>
              </a:solidFill>
              <a:prstDash val="dash"/>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Medición!$R$10:$R$64</c:f>
              <c:numCache>
                <c:formatCode>0.0</c:formatCode>
                <c:ptCount val="55"/>
              </c:numCache>
            </c:numRef>
          </c:yVal>
          <c:smooth val="0"/>
          <c:extLst>
            <c:ext xmlns:c16="http://schemas.microsoft.com/office/drawing/2014/chart" uri="{C3380CC4-5D6E-409C-BE32-E72D297353CC}">
              <c16:uniqueId val="{00000004-EB20-41C8-8FE9-3F1C925FABB0}"/>
            </c:ext>
          </c:extLst>
        </c:ser>
        <c:ser>
          <c:idx val="11"/>
          <c:order val="5"/>
          <c:tx>
            <c:v>Hoja de datos B</c:v>
          </c:tx>
          <c:spPr>
            <a:ln w="22000">
              <a:solidFill>
                <a:srgbClr val="EB6834"/>
              </a:solidFill>
              <a:prstDash val="dash"/>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Medición!$S$10:$S$64</c:f>
              <c:numCache>
                <c:formatCode>0.0</c:formatCode>
                <c:ptCount val="55"/>
              </c:numCache>
            </c:numRef>
          </c:yVal>
          <c:smooth val="0"/>
          <c:extLst>
            <c:ext xmlns:c16="http://schemas.microsoft.com/office/drawing/2014/chart" uri="{C3380CC4-5D6E-409C-BE32-E72D297353CC}">
              <c16:uniqueId val="{00000005-EB20-41C8-8FE9-3F1C925FABB0}"/>
            </c:ext>
          </c:extLst>
        </c:ser>
        <c:ser>
          <c:idx val="0"/>
          <c:order val="6"/>
          <c:tx>
            <c:v>Punta A</c:v>
          </c:tx>
          <c:spPr>
            <a:ln w="22000">
              <a:solidFill>
                <a:srgbClr val="2A78D6"/>
              </a:solidFill>
              <a:prstDash val="solid"/>
            </a:ln>
          </c:spPr>
          <c:marker>
            <c:symbol val="circle"/>
            <c:size val="6"/>
            <c:spPr>
              <a:solidFill>
                <a:srgbClr val="2A78D6"/>
              </a:solidFill>
              <a:ln>
                <a:solidFill>
                  <a:srgbClr val="2A78D6"/>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Medición!$G$10:$G$64</c:f>
              <c:numCache>
                <c:formatCode>0.0</c:formatCode>
                <c:ptCount val="55"/>
                <c:pt idx="0">
                  <c:v>6.3094000867203741</c:v>
                </c:pt>
                <c:pt idx="1">
                  <c:v>5.8094000867203741</c:v>
                </c:pt>
                <c:pt idx="2">
                  <c:v>5.9094000867203755</c:v>
                </c:pt>
                <c:pt idx="3">
                  <c:v>5.5094000867203734</c:v>
                </c:pt>
                <c:pt idx="4">
                  <c:v>4.7094000867203762</c:v>
                </c:pt>
                <c:pt idx="5">
                  <c:v>4.2094000867203762</c:v>
                </c:pt>
                <c:pt idx="6">
                  <c:v>3.8094000867203741</c:v>
                </c:pt>
                <c:pt idx="7">
                  <c:v>3.7094000867203762</c:v>
                </c:pt>
                <c:pt idx="8">
                  <c:v>3.7094000867203762</c:v>
                </c:pt>
                <c:pt idx="9">
                  <c:v>3.6094000867203748</c:v>
                </c:pt>
                <c:pt idx="10">
                  <c:v>3.4094000867203755</c:v>
                </c:pt>
                <c:pt idx="11">
                  <c:v>3.3094000867203741</c:v>
                </c:pt>
                <c:pt idx="12">
                  <c:v>3.4094000867203755</c:v>
                </c:pt>
                <c:pt idx="13">
                  <c:v>3.4094000867203755</c:v>
                </c:pt>
                <c:pt idx="14">
                  <c:v>3.4094000867203755</c:v>
                </c:pt>
                <c:pt idx="15">
                  <c:v>3.6094000867203748</c:v>
                </c:pt>
                <c:pt idx="16">
                  <c:v>3.6094000867203748</c:v>
                </c:pt>
                <c:pt idx="17">
                  <c:v>3.6094000867203748</c:v>
                </c:pt>
                <c:pt idx="18">
                  <c:v>3.5094000867203734</c:v>
                </c:pt>
                <c:pt idx="19">
                  <c:v>3.5094000867203734</c:v>
                </c:pt>
                <c:pt idx="20">
                  <c:v>3.4094000867203755</c:v>
                </c:pt>
                <c:pt idx="21">
                  <c:v>3.1094000867203748</c:v>
                </c:pt>
                <c:pt idx="22">
                  <c:v>2.9094000867203755</c:v>
                </c:pt>
                <c:pt idx="23">
                  <c:v>2.9094000867203755</c:v>
                </c:pt>
                <c:pt idx="24">
                  <c:v>3.4094000867203755</c:v>
                </c:pt>
                <c:pt idx="25">
                  <c:v>3.3094000867203741</c:v>
                </c:pt>
                <c:pt idx="26">
                  <c:v>3.1094000867203748</c:v>
                </c:pt>
                <c:pt idx="27">
                  <c:v>3.1094000867203748</c:v>
                </c:pt>
                <c:pt idx="28">
                  <c:v>3.5094000867203734</c:v>
                </c:pt>
                <c:pt idx="29">
                  <c:v>3.2094000867203762</c:v>
                </c:pt>
                <c:pt idx="30">
                  <c:v>3.4094000867203755</c:v>
                </c:pt>
                <c:pt idx="31">
                  <c:v>3.9094000867203755</c:v>
                </c:pt>
                <c:pt idx="32">
                  <c:v>4.4094000867203755</c:v>
                </c:pt>
                <c:pt idx="33">
                  <c:v>4.1094000867203748</c:v>
                </c:pt>
                <c:pt idx="34">
                  <c:v>4.7094000867203762</c:v>
                </c:pt>
                <c:pt idx="35">
                  <c:v>5.1094000867203748</c:v>
                </c:pt>
                <c:pt idx="36">
                  <c:v>6.1094000867203748</c:v>
                </c:pt>
                <c:pt idx="37">
                  <c:v>7.1094000867203748</c:v>
                </c:pt>
                <c:pt idx="38">
                  <c:v>7.9094000867203755</c:v>
                </c:pt>
                <c:pt idx="39">
                  <c:v>8.0094000867203743</c:v>
                </c:pt>
                <c:pt idx="40">
                  <c:v>8.309400086720375</c:v>
                </c:pt>
                <c:pt idx="41">
                  <c:v>7.8094000867203741</c:v>
                </c:pt>
                <c:pt idx="42">
                  <c:v>8.309400086720375</c:v>
                </c:pt>
                <c:pt idx="43">
                  <c:v>7.6094000867203748</c:v>
                </c:pt>
                <c:pt idx="44">
                  <c:v>4.4094000867203755</c:v>
                </c:pt>
                <c:pt idx="45">
                  <c:v>-0.89059991327962507</c:v>
                </c:pt>
                <c:pt idx="46">
                  <c:v>-3.1905999132796223</c:v>
                </c:pt>
                <c:pt idx="47">
                  <c:v>-2.4905999132796266</c:v>
                </c:pt>
                <c:pt idx="48">
                  <c:v>-2.4905999132796266</c:v>
                </c:pt>
                <c:pt idx="49">
                  <c:v>-2.4905999132796266</c:v>
                </c:pt>
                <c:pt idx="50">
                  <c:v>-4.090599913279628</c:v>
                </c:pt>
                <c:pt idx="51">
                  <c:v>-3.1905999132796223</c:v>
                </c:pt>
                <c:pt idx="52">
                  <c:v>-13.890599913279624</c:v>
                </c:pt>
                <c:pt idx="53">
                  <c:v>-1.3905999132796252</c:v>
                </c:pt>
                <c:pt idx="54">
                  <c:v>-3.090599913279628</c:v>
                </c:pt>
              </c:numCache>
            </c:numRef>
          </c:yVal>
          <c:smooth val="0"/>
          <c:extLst>
            <c:ext xmlns:c16="http://schemas.microsoft.com/office/drawing/2014/chart" uri="{C3380CC4-5D6E-409C-BE32-E72D297353CC}">
              <c16:uniqueId val="{00000006-EB20-41C8-8FE9-3F1C925FABB0}"/>
            </c:ext>
          </c:extLst>
        </c:ser>
        <c:ser>
          <c:idx val="1"/>
          <c:order val="7"/>
          <c:tx>
            <c:v>Punta B</c:v>
          </c:tx>
          <c:spPr>
            <a:ln w="22000">
              <a:solidFill>
                <a:srgbClr val="EB6834"/>
              </a:solidFill>
              <a:prstDash val="solid"/>
            </a:ln>
          </c:spPr>
          <c:marker>
            <c:symbol val="circle"/>
            <c:size val="6"/>
            <c:spPr>
              <a:solidFill>
                <a:srgbClr val="EB6834"/>
              </a:solidFill>
              <a:ln>
                <a:solidFill>
                  <a:srgbClr val="EB6834"/>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Medición!$L$10:$L$64</c:f>
              <c:numCache>
                <c:formatCode>0.0</c:formatCode>
                <c:ptCount val="55"/>
                <c:pt idx="0">
                  <c:v>-14.790599913279623</c:v>
                </c:pt>
                <c:pt idx="1">
                  <c:v>-11.890599913279624</c:v>
                </c:pt>
                <c:pt idx="2">
                  <c:v>-8.3905999132796243</c:v>
                </c:pt>
                <c:pt idx="3">
                  <c:v>-6.1905999132796223</c:v>
                </c:pt>
                <c:pt idx="4">
                  <c:v>-4.6905999132796223</c:v>
                </c:pt>
                <c:pt idx="5">
                  <c:v>-3.0005999132796246</c:v>
                </c:pt>
                <c:pt idx="6">
                  <c:v>-1.2905999132796238</c:v>
                </c:pt>
                <c:pt idx="7">
                  <c:v>0.30940008672037778</c:v>
                </c:pt>
                <c:pt idx="8">
                  <c:v>2.0094000867203734</c:v>
                </c:pt>
                <c:pt idx="9">
                  <c:v>3.4094000867203755</c:v>
                </c:pt>
                <c:pt idx="10">
                  <c:v>4.3094000867203741</c:v>
                </c:pt>
                <c:pt idx="11">
                  <c:v>5.2094000867203762</c:v>
                </c:pt>
                <c:pt idx="12">
                  <c:v>6.0094000867203734</c:v>
                </c:pt>
                <c:pt idx="13">
                  <c:v>6.6094000867203748</c:v>
                </c:pt>
                <c:pt idx="14">
                  <c:v>7.0094000867203734</c:v>
                </c:pt>
                <c:pt idx="15">
                  <c:v>7.4094000867203755</c:v>
                </c:pt>
                <c:pt idx="16">
                  <c:v>7.7094000867203762</c:v>
                </c:pt>
                <c:pt idx="17">
                  <c:v>7.8094000867203741</c:v>
                </c:pt>
                <c:pt idx="18">
                  <c:v>7.8094000867203741</c:v>
                </c:pt>
                <c:pt idx="19">
                  <c:v>7.8094000867203741</c:v>
                </c:pt>
                <c:pt idx="20">
                  <c:v>7.8094000867203741</c:v>
                </c:pt>
                <c:pt idx="21">
                  <c:v>7.7094000867203762</c:v>
                </c:pt>
                <c:pt idx="22">
                  <c:v>7.4094000867203755</c:v>
                </c:pt>
                <c:pt idx="23">
                  <c:v>7.4094000867203755</c:v>
                </c:pt>
                <c:pt idx="24">
                  <c:v>7.7094000867203762</c:v>
                </c:pt>
                <c:pt idx="25">
                  <c:v>7.7094000867203762</c:v>
                </c:pt>
                <c:pt idx="26">
                  <c:v>7.5094000867203734</c:v>
                </c:pt>
                <c:pt idx="27">
                  <c:v>7.5094000867203734</c:v>
                </c:pt>
                <c:pt idx="28">
                  <c:v>7.7094000867203762</c:v>
                </c:pt>
                <c:pt idx="29">
                  <c:v>7.2094000867203762</c:v>
                </c:pt>
                <c:pt idx="30">
                  <c:v>6.6094000867203748</c:v>
                </c:pt>
                <c:pt idx="31">
                  <c:v>6.2094000867203762</c:v>
                </c:pt>
                <c:pt idx="32">
                  <c:v>4.7094000867203762</c:v>
                </c:pt>
                <c:pt idx="33">
                  <c:v>4.6094000867203748</c:v>
                </c:pt>
                <c:pt idx="34">
                  <c:v>4.3094000867203741</c:v>
                </c:pt>
                <c:pt idx="35">
                  <c:v>4.1094000867203748</c:v>
                </c:pt>
                <c:pt idx="36">
                  <c:v>4.0094000867203734</c:v>
                </c:pt>
                <c:pt idx="37">
                  <c:v>4.1094000867203748</c:v>
                </c:pt>
                <c:pt idx="38">
                  <c:v>4.0094000867203734</c:v>
                </c:pt>
                <c:pt idx="39">
                  <c:v>3.0094000867203734</c:v>
                </c:pt>
                <c:pt idx="40">
                  <c:v>1.6094000867203748</c:v>
                </c:pt>
                <c:pt idx="41">
                  <c:v>-1.3905999132796252</c:v>
                </c:pt>
                <c:pt idx="42">
                  <c:v>-1.9905999132796266</c:v>
                </c:pt>
                <c:pt idx="43">
                  <c:v>6.5094000867203734</c:v>
                </c:pt>
                <c:pt idx="44">
                  <c:v>9.1094000867203757</c:v>
                </c:pt>
                <c:pt idx="45">
                  <c:v>8.0094000867203743</c:v>
                </c:pt>
                <c:pt idx="46">
                  <c:v>7.1094000867203748</c:v>
                </c:pt>
                <c:pt idx="47">
                  <c:v>-0.39059991327962507</c:v>
                </c:pt>
                <c:pt idx="48">
                  <c:v>-3.2905999132796238</c:v>
                </c:pt>
                <c:pt idx="49">
                  <c:v>-5.8905999132796252</c:v>
                </c:pt>
                <c:pt idx="50">
                  <c:v>-5.3905999132796252</c:v>
                </c:pt>
                <c:pt idx="51">
                  <c:v>-4.2905999132796238</c:v>
                </c:pt>
                <c:pt idx="52">
                  <c:v>-2.8905999132796252</c:v>
                </c:pt>
                <c:pt idx="53">
                  <c:v>-8.6905999132796214</c:v>
                </c:pt>
                <c:pt idx="54">
                  <c:v>-4.590599913279628</c:v>
                </c:pt>
              </c:numCache>
            </c:numRef>
          </c:yVal>
          <c:smooth val="0"/>
          <c:extLst>
            <c:ext xmlns:c16="http://schemas.microsoft.com/office/drawing/2014/chart" uri="{C3380CC4-5D6E-409C-BE32-E72D297353CC}">
              <c16:uniqueId val="{00000007-EB20-41C8-8FE9-3F1C925FABB0}"/>
            </c:ext>
          </c:extLst>
        </c:ser>
        <c:ser>
          <c:idx val="2"/>
          <c:order val="8"/>
          <c:tx>
            <c:v>Punta A con V1</c:v>
          </c:tx>
          <c:spPr>
            <a:ln>
              <a:noFill/>
              <a:prstDash val="solid"/>
            </a:ln>
          </c:spPr>
          <c:marker>
            <c:symbol val="triangle"/>
            <c:size val="6"/>
            <c:spPr>
              <a:solidFill>
                <a:srgbClr val="2A78D6"/>
              </a:solidFill>
              <a:ln>
                <a:solidFill>
                  <a:srgbClr val="2A78D6"/>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Medición!$O$10:$O$64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8-EB20-41C8-8FE9-3F1C925FABB0}"/>
            </c:ext>
          </c:extLst>
        </c:ser>
        <c:ser>
          <c:idx val="3"/>
          <c:order val="9"/>
          <c:tx>
            <c:v>Punta B con V1</c:v>
          </c:tx>
          <c:spPr>
            <a:ln>
              <a:noFill/>
              <a:prstDash val="solid"/>
            </a:ln>
          </c:spPr>
          <c:marker>
            <c:symbol val="triangle"/>
            <c:size val="6"/>
            <c:spPr>
              <a:solidFill>
                <a:srgbClr val="EB6834"/>
              </a:solidFill>
              <a:ln>
                <a:solidFill>
                  <a:srgbClr val="EB6834"/>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Medición!$Q$10:$Q$64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9-EB20-41C8-8FE9-3F1C925FABB0}"/>
            </c:ext>
          </c:extLst>
        </c:ser>
        <c:ser>
          <c:idx val="4"/>
          <c:order val="10"/>
          <c:tx>
            <c:v>Hoja de datos A</c:v>
          </c:tx>
          <c:spPr>
            <a:ln w="22000">
              <a:solidFill>
                <a:srgbClr val="2A78D6"/>
              </a:solidFill>
              <a:prstDash val="dash"/>
            </a:ln>
          </c:spPr>
          <c:marker>
            <c:symbol val="none"/>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Medición!$R$10:$R$64</c:f>
              <c:numCache>
                <c:formatCode>0.0</c:formatCode>
                <c:ptCount val="55"/>
              </c:numCache>
            </c:numRef>
          </c:yVal>
          <c:smooth val="0"/>
          <c:extLst>
            <c:ext xmlns:c16="http://schemas.microsoft.com/office/drawing/2014/chart" uri="{C3380CC4-5D6E-409C-BE32-E72D297353CC}">
              <c16:uniqueId val="{0000000A-EB20-41C8-8FE9-3F1C925FABB0}"/>
            </c:ext>
          </c:extLst>
        </c:ser>
        <c:ser>
          <c:idx val="5"/>
          <c:order val="11"/>
          <c:tx>
            <c:v>Hoja de datos B</c:v>
          </c:tx>
          <c:spPr>
            <a:ln w="22000">
              <a:solidFill>
                <a:srgbClr val="EB6834"/>
              </a:solidFill>
              <a:prstDash val="dash"/>
            </a:ln>
          </c:spPr>
          <c:marker>
            <c:symbol val="none"/>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Medición!$S$10:$S$64</c:f>
              <c:numCache>
                <c:formatCode>0.0</c:formatCode>
                <c:ptCount val="55"/>
              </c:numCache>
            </c:numRef>
          </c:yVal>
          <c:smooth val="0"/>
          <c:extLst>
            <c:ext xmlns:c16="http://schemas.microsoft.com/office/drawing/2014/chart" uri="{C3380CC4-5D6E-409C-BE32-E72D297353CC}">
              <c16:uniqueId val="{0000000B-EB20-41C8-8FE9-3F1C925FABB0}"/>
            </c:ext>
          </c:extLst>
        </c:ser>
        <c:dLbls>
          <c:showLegendKey val="0"/>
          <c:showVal val="0"/>
          <c:showCatName val="0"/>
          <c:showSerName val="0"/>
          <c:showPercent val="0"/>
          <c:showBubbleSize val="0"/>
        </c:dLbls>
        <c:axId val="10"/>
        <c:axId val="20"/>
      </c:scatterChart>
      <c:valAx>
        <c:axId val="10"/>
        <c:scaling>
          <c:logBase val="10"/>
          <c:orientation val="minMax"/>
          <c:max val="200"/>
          <c:min val="0.01"/>
        </c:scaling>
        <c:delete val="0"/>
        <c:axPos val="b"/>
        <c:majorGridlines/>
        <c:minorGridlines>
          <c:spPr>
            <a:ln>
              <a:solidFill>
                <a:srgbClr val="E7E6E6"/>
              </a:solidFill>
              <a:prstDash val="solid"/>
            </a:ln>
          </c:spPr>
        </c:minorGridlines>
        <c:title>
          <c:tx>
            <c:rich>
              <a:bodyPr/>
              <a:lstStyle/>
              <a:p>
                <a:pPr>
                  <a:defRPr/>
                </a:pPr>
                <a:r>
                  <a:rPr lang="en-US"/>
                  <a:t>Frecuencia (MHz)</a:t>
                </a:r>
              </a:p>
            </c:rich>
          </c:tx>
          <c:overlay val="0"/>
        </c:title>
        <c:numFmt formatCode="General" sourceLinked="0"/>
        <c:majorTickMark val="none"/>
        <c:minorTickMark val="none"/>
        <c:tickLblPos val="low"/>
        <c:crossAx val="20"/>
        <c:crosses val="min"/>
        <c:crossBetween val="midCat"/>
      </c:valAx>
      <c:valAx>
        <c:axId val="20"/>
        <c:scaling>
          <c:orientation val="minMax"/>
          <c:max val="10"/>
          <c:min val="-15"/>
        </c:scaling>
        <c:delete val="0"/>
        <c:axPos val="l"/>
        <c:majorGridlines/>
        <c:title>
          <c:tx>
            <c:rich>
              <a:bodyPr/>
              <a:lstStyle/>
              <a:p>
                <a:pPr>
                  <a:defRPr/>
                </a:pPr>
                <a:r>
                  <a:rPr lang="en-US"/>
                  <a:t>Zt (dB</a:t>
                </a:r>
                <a:r>
                  <a:rPr lang="el-GR"/>
                  <a:t>Ω)</a:t>
                </a:r>
              </a:p>
            </c:rich>
          </c:tx>
          <c:overlay val="0"/>
        </c:title>
        <c:numFmt formatCode="0" sourceLinked="0"/>
        <c:majorTickMark val="none"/>
        <c:minorTickMark val="none"/>
        <c:tickLblPos val="low"/>
        <c:crossAx val="10"/>
        <c:crosses val="min"/>
        <c:crossBetween val="midCat"/>
      </c:valAx>
    </c:plotArea>
    <c:legend>
      <c:legendPos val="b"/>
      <c:overlay val="0"/>
    </c:legend>
    <c:plotVisOnly val="1"/>
    <c:dispBlanksAs val="span"/>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360000" cy="46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15</xdr:col>
      <xdr:colOff>251298</xdr:colOff>
      <xdr:row>0</xdr:row>
      <xdr:rowOff>0</xdr:rowOff>
    </xdr:from>
    <xdr:ext cx="9360000" cy="4680000"/>
    <xdr:graphicFrame macro="">
      <xdr:nvGraphicFramePr>
        <xdr:cNvPr id="3" name="Chart 2">
          <a:extLst>
            <a:ext uri="{FF2B5EF4-FFF2-40B4-BE49-F238E27FC236}">
              <a16:creationId xmlns:a16="http://schemas.microsoft.com/office/drawing/2014/main" id="{242644EB-450B-47EE-A2CA-6761DB972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79"/>
  <sheetViews>
    <sheetView zoomScaleNormal="100" workbookViewId="0">
      <selection activeCell="I6" sqref="I6"/>
    </sheetView>
  </sheetViews>
  <sheetFormatPr defaultRowHeight="14.4" x14ac:dyDescent="0.3"/>
  <cols>
    <col min="1" max="1" width="5" customWidth="1"/>
    <col min="2" max="2" width="8" customWidth="1"/>
    <col min="3" max="3" width="10" customWidth="1"/>
    <col min="4" max="19" width="11" customWidth="1"/>
    <col min="20" max="20" width="40" customWidth="1"/>
  </cols>
  <sheetData>
    <row r="1" spans="1:20" ht="17.399999999999999" x14ac:dyDescent="0.3">
      <c r="A1" s="1" t="s">
        <v>0</v>
      </c>
    </row>
    <row r="3" spans="1:20" x14ac:dyDescent="0.3">
      <c r="A3" s="24" t="s">
        <v>1</v>
      </c>
      <c r="B3" s="25"/>
      <c r="C3" s="25"/>
      <c r="D3" s="25"/>
      <c r="E3" s="25"/>
      <c r="F3" s="25"/>
      <c r="G3" s="3">
        <v>0</v>
      </c>
    </row>
    <row r="4" spans="1:20" x14ac:dyDescent="0.3">
      <c r="A4" s="24" t="s">
        <v>2</v>
      </c>
      <c r="B4" s="25"/>
      <c r="C4" s="25"/>
      <c r="D4" s="25"/>
      <c r="E4" s="25"/>
      <c r="F4" s="25"/>
      <c r="G4" s="4">
        <v>0.13</v>
      </c>
    </row>
    <row r="5" spans="1:20" x14ac:dyDescent="0.3">
      <c r="A5" s="24" t="s">
        <v>3</v>
      </c>
      <c r="B5" s="25"/>
      <c r="C5" s="25"/>
      <c r="D5" s="25"/>
      <c r="E5" s="25"/>
      <c r="F5" s="25"/>
      <c r="G5" s="5">
        <f>20*LOG10(50)</f>
        <v>33.979400086720375</v>
      </c>
    </row>
    <row r="6" spans="1:20" x14ac:dyDescent="0.3">
      <c r="A6" s="24" t="s">
        <v>4</v>
      </c>
      <c r="B6" s="25"/>
      <c r="C6" s="25"/>
      <c r="D6" s="25"/>
      <c r="E6" s="25"/>
      <c r="F6" s="25"/>
      <c r="G6" s="6">
        <v>10</v>
      </c>
    </row>
    <row r="8" spans="1:20" x14ac:dyDescent="0.3">
      <c r="A8" s="29" t="s">
        <v>5</v>
      </c>
      <c r="B8" s="25"/>
      <c r="C8" s="25"/>
      <c r="D8" s="28" t="s">
        <v>6</v>
      </c>
      <c r="E8" s="25"/>
      <c r="F8" s="25"/>
      <c r="G8" s="25"/>
      <c r="H8" s="25"/>
      <c r="I8" s="26" t="s">
        <v>7</v>
      </c>
      <c r="J8" s="25"/>
      <c r="K8" s="25"/>
      <c r="L8" s="25"/>
      <c r="M8" s="25"/>
      <c r="N8" s="27" t="s">
        <v>8</v>
      </c>
      <c r="O8" s="25"/>
      <c r="P8" s="25"/>
      <c r="Q8" s="25"/>
      <c r="R8" s="27" t="s">
        <v>9</v>
      </c>
      <c r="S8" s="25"/>
      <c r="T8" s="7"/>
    </row>
    <row r="9" spans="1:20" ht="42" customHeight="1" x14ac:dyDescent="0.3">
      <c r="A9" s="8" t="s">
        <v>10</v>
      </c>
      <c r="B9" s="8" t="s">
        <v>11</v>
      </c>
      <c r="C9" s="8" t="s">
        <v>12</v>
      </c>
      <c r="D9" s="8" t="s">
        <v>13</v>
      </c>
      <c r="E9" s="8" t="s">
        <v>14</v>
      </c>
      <c r="F9" s="8" t="s">
        <v>15</v>
      </c>
      <c r="G9" s="8" t="s">
        <v>16</v>
      </c>
      <c r="H9" s="8" t="s">
        <v>17</v>
      </c>
      <c r="I9" s="8" t="s">
        <v>18</v>
      </c>
      <c r="J9" s="8" t="s">
        <v>19</v>
      </c>
      <c r="K9" s="8" t="s">
        <v>20</v>
      </c>
      <c r="L9" s="8" t="s">
        <v>21</v>
      </c>
      <c r="M9" s="8" t="s">
        <v>22</v>
      </c>
      <c r="N9" s="8" t="s">
        <v>23</v>
      </c>
      <c r="O9" s="8" t="s">
        <v>24</v>
      </c>
      <c r="P9" s="8" t="s">
        <v>25</v>
      </c>
      <c r="Q9" s="8" t="s">
        <v>26</v>
      </c>
      <c r="R9" s="8" t="s">
        <v>27</v>
      </c>
      <c r="S9" s="8" t="s">
        <v>28</v>
      </c>
      <c r="T9" s="8" t="s">
        <v>29</v>
      </c>
    </row>
    <row r="10" spans="1:20" x14ac:dyDescent="0.3">
      <c r="A10" s="9">
        <v>1</v>
      </c>
      <c r="B10" s="10">
        <v>0.01</v>
      </c>
      <c r="C10" s="3">
        <f t="shared" ref="C10:C41" si="0">$G$3</f>
        <v>0</v>
      </c>
      <c r="D10" s="3">
        <v>-27.8</v>
      </c>
      <c r="E10" s="3">
        <v>-80</v>
      </c>
      <c r="F10" s="11">
        <f t="shared" ref="F10:F41" si="1">IF(OR(D10="",E10=""),"",D10-E10)</f>
        <v>52.2</v>
      </c>
      <c r="G10" s="11">
        <f t="shared" ref="G10:G41" si="2">IF(D10="",NA(),D10-C10+$G$5+$G$4)</f>
        <v>6.3094000867203741</v>
      </c>
      <c r="H10" s="12">
        <f t="shared" ref="H10:H41" si="3">IF(D10="",NA(),10^(G10/20))</f>
        <v>2.0676165717380282</v>
      </c>
      <c r="I10" s="3">
        <v>-48.9</v>
      </c>
      <c r="J10" s="3">
        <v>-80</v>
      </c>
      <c r="K10" s="11">
        <f t="shared" ref="K10:K41" si="4">IF(OR(I10="",J10=""),"",I10-J10)</f>
        <v>31.1</v>
      </c>
      <c r="L10" s="11">
        <f t="shared" ref="L10:L41" si="5">IF(I10="",NA(),I10-C10+$G$5+$G$4)</f>
        <v>-14.790599913279623</v>
      </c>
      <c r="M10" s="12">
        <f t="shared" ref="M10:M41" si="6">IF(I10="",NA(),10^(L10/20))</f>
        <v>0.18216712503424842</v>
      </c>
      <c r="N10" s="3"/>
      <c r="O10" s="11" t="e">
        <f t="shared" ref="O10:O41" si="7">IF(OR(D10="",N10=""),NA(),D10-N10+$G$5)</f>
        <v>#N/A</v>
      </c>
      <c r="P10" s="3"/>
      <c r="Q10" s="11" t="e">
        <f t="shared" ref="Q10:Q41" si="8">IF(OR(I10="",P10=""),NA(),I10-P10+$G$5)</f>
        <v>#N/A</v>
      </c>
      <c r="R10" s="3"/>
      <c r="S10" s="3"/>
      <c r="T10" s="13"/>
    </row>
    <row r="11" spans="1:20" x14ac:dyDescent="0.3">
      <c r="A11" s="9">
        <v>2</v>
      </c>
      <c r="B11" s="10">
        <v>1.2500000000000001E-2</v>
      </c>
      <c r="C11" s="3">
        <f t="shared" si="0"/>
        <v>0</v>
      </c>
      <c r="D11" s="3">
        <v>-28.3</v>
      </c>
      <c r="E11" s="3">
        <v>-80</v>
      </c>
      <c r="F11" s="11">
        <f t="shared" si="1"/>
        <v>51.7</v>
      </c>
      <c r="G11" s="11">
        <f t="shared" si="2"/>
        <v>5.8094000867203741</v>
      </c>
      <c r="H11" s="12">
        <f t="shared" si="3"/>
        <v>1.9519559125382999</v>
      </c>
      <c r="I11" s="3">
        <v>-46</v>
      </c>
      <c r="J11" s="3">
        <v>-80</v>
      </c>
      <c r="K11" s="11">
        <f t="shared" si="4"/>
        <v>34</v>
      </c>
      <c r="L11" s="11">
        <f t="shared" si="5"/>
        <v>-11.890599913279624</v>
      </c>
      <c r="M11" s="12">
        <f t="shared" si="6"/>
        <v>0.25437240982234544</v>
      </c>
      <c r="N11" s="3"/>
      <c r="O11" s="11" t="e">
        <f t="shared" si="7"/>
        <v>#N/A</v>
      </c>
      <c r="P11" s="3"/>
      <c r="Q11" s="11" t="e">
        <f t="shared" si="8"/>
        <v>#N/A</v>
      </c>
      <c r="R11" s="3"/>
      <c r="S11" s="3"/>
      <c r="T11" s="13"/>
    </row>
    <row r="12" spans="1:20" x14ac:dyDescent="0.3">
      <c r="A12" s="9">
        <v>3</v>
      </c>
      <c r="B12" s="10">
        <v>1.6E-2</v>
      </c>
      <c r="C12" s="3">
        <f t="shared" si="0"/>
        <v>0</v>
      </c>
      <c r="D12" s="3">
        <v>-28.2</v>
      </c>
      <c r="E12" s="3">
        <v>-80</v>
      </c>
      <c r="F12" s="11">
        <f t="shared" si="1"/>
        <v>51.8</v>
      </c>
      <c r="G12" s="11">
        <f t="shared" si="2"/>
        <v>5.9094000867203755</v>
      </c>
      <c r="H12" s="12">
        <f t="shared" si="3"/>
        <v>1.9745584967448759</v>
      </c>
      <c r="I12" s="3">
        <v>-42.5</v>
      </c>
      <c r="J12" s="3">
        <v>-80</v>
      </c>
      <c r="K12" s="11">
        <f t="shared" si="4"/>
        <v>37.5</v>
      </c>
      <c r="L12" s="11">
        <f t="shared" si="5"/>
        <v>-8.3905999132796243</v>
      </c>
      <c r="M12" s="12">
        <f t="shared" si="6"/>
        <v>0.38060106950285916</v>
      </c>
      <c r="N12" s="3"/>
      <c r="O12" s="11" t="e">
        <f t="shared" si="7"/>
        <v>#N/A</v>
      </c>
      <c r="P12" s="3"/>
      <c r="Q12" s="11" t="e">
        <f t="shared" si="8"/>
        <v>#N/A</v>
      </c>
      <c r="R12" s="3"/>
      <c r="S12" s="3"/>
      <c r="T12" s="13"/>
    </row>
    <row r="13" spans="1:20" x14ac:dyDescent="0.3">
      <c r="A13" s="9">
        <v>4</v>
      </c>
      <c r="B13" s="10">
        <v>0.02</v>
      </c>
      <c r="C13" s="3">
        <f t="shared" si="0"/>
        <v>0</v>
      </c>
      <c r="D13" s="3">
        <v>-28.6</v>
      </c>
      <c r="E13" s="3">
        <v>-80</v>
      </c>
      <c r="F13" s="11">
        <f t="shared" si="1"/>
        <v>51.4</v>
      </c>
      <c r="G13" s="11">
        <f t="shared" si="2"/>
        <v>5.5094000867203734</v>
      </c>
      <c r="H13" s="12">
        <f t="shared" si="3"/>
        <v>1.8856887250569876</v>
      </c>
      <c r="I13" s="3">
        <v>-40.299999999999997</v>
      </c>
      <c r="J13" s="3">
        <v>-80</v>
      </c>
      <c r="K13" s="11">
        <f t="shared" si="4"/>
        <v>39.700000000000003</v>
      </c>
      <c r="L13" s="11">
        <f t="shared" si="5"/>
        <v>-6.1905999132796223</v>
      </c>
      <c r="M13" s="12">
        <f t="shared" si="6"/>
        <v>0.49030915716098578</v>
      </c>
      <c r="N13" s="3"/>
      <c r="O13" s="11" t="e">
        <f t="shared" si="7"/>
        <v>#N/A</v>
      </c>
      <c r="P13" s="3"/>
      <c r="Q13" s="11" t="e">
        <f t="shared" si="8"/>
        <v>#N/A</v>
      </c>
      <c r="R13" s="3"/>
      <c r="S13" s="3"/>
      <c r="T13" s="13"/>
    </row>
    <row r="14" spans="1:20" x14ac:dyDescent="0.3">
      <c r="A14" s="9">
        <v>5</v>
      </c>
      <c r="B14" s="10">
        <v>2.5000000000000001E-2</v>
      </c>
      <c r="C14" s="3">
        <f t="shared" si="0"/>
        <v>0</v>
      </c>
      <c r="D14" s="3">
        <v>-29.4</v>
      </c>
      <c r="E14" s="3">
        <v>-80</v>
      </c>
      <c r="F14" s="11">
        <f t="shared" si="1"/>
        <v>50.6</v>
      </c>
      <c r="G14" s="11">
        <f t="shared" si="2"/>
        <v>4.7094000867203762</v>
      </c>
      <c r="H14" s="12">
        <f t="shared" si="3"/>
        <v>1.7197685569031993</v>
      </c>
      <c r="I14" s="3">
        <v>-38.799999999999997</v>
      </c>
      <c r="J14" s="3">
        <v>-80</v>
      </c>
      <c r="K14" s="11">
        <f t="shared" si="4"/>
        <v>41.2</v>
      </c>
      <c r="L14" s="11">
        <f t="shared" si="5"/>
        <v>-4.6905999132796223</v>
      </c>
      <c r="M14" s="12">
        <f t="shared" si="6"/>
        <v>0.58273352541859869</v>
      </c>
      <c r="N14" s="3"/>
      <c r="O14" s="11" t="e">
        <f t="shared" si="7"/>
        <v>#N/A</v>
      </c>
      <c r="P14" s="3"/>
      <c r="Q14" s="11" t="e">
        <f t="shared" si="8"/>
        <v>#N/A</v>
      </c>
      <c r="R14" s="3"/>
      <c r="S14" s="3"/>
      <c r="T14" s="13"/>
    </row>
    <row r="15" spans="1:20" x14ac:dyDescent="0.3">
      <c r="A15" s="9">
        <v>6</v>
      </c>
      <c r="B15" s="10">
        <v>3.15E-2</v>
      </c>
      <c r="C15" s="3">
        <f t="shared" si="0"/>
        <v>0</v>
      </c>
      <c r="D15" s="3">
        <v>-29.9</v>
      </c>
      <c r="E15" s="3">
        <v>-80</v>
      </c>
      <c r="F15" s="11">
        <f t="shared" si="1"/>
        <v>50.1</v>
      </c>
      <c r="G15" s="11">
        <f t="shared" si="2"/>
        <v>4.2094000867203762</v>
      </c>
      <c r="H15" s="12">
        <f t="shared" si="3"/>
        <v>1.6235662108390121</v>
      </c>
      <c r="I15" s="3">
        <v>-37.11</v>
      </c>
      <c r="J15" s="3">
        <v>-80</v>
      </c>
      <c r="K15" s="11">
        <f t="shared" si="4"/>
        <v>42.89</v>
      </c>
      <c r="L15" s="11">
        <f t="shared" si="5"/>
        <v>-3.0005999132796246</v>
      </c>
      <c r="M15" s="12">
        <f t="shared" si="6"/>
        <v>0.70789688997854072</v>
      </c>
      <c r="N15" s="3"/>
      <c r="O15" s="11" t="e">
        <f t="shared" si="7"/>
        <v>#N/A</v>
      </c>
      <c r="P15" s="3"/>
      <c r="Q15" s="11" t="e">
        <f t="shared" si="8"/>
        <v>#N/A</v>
      </c>
      <c r="R15" s="3"/>
      <c r="S15" s="3"/>
      <c r="T15" s="13"/>
    </row>
    <row r="16" spans="1:20" x14ac:dyDescent="0.3">
      <c r="A16" s="9">
        <v>7</v>
      </c>
      <c r="B16" s="10">
        <v>0.04</v>
      </c>
      <c r="C16" s="3">
        <f t="shared" si="0"/>
        <v>0</v>
      </c>
      <c r="D16" s="3">
        <v>-30.3</v>
      </c>
      <c r="E16" s="3">
        <v>-80</v>
      </c>
      <c r="F16" s="11">
        <f t="shared" si="1"/>
        <v>49.7</v>
      </c>
      <c r="G16" s="11">
        <f t="shared" si="2"/>
        <v>3.8094000867203741</v>
      </c>
      <c r="H16" s="12">
        <f t="shared" si="3"/>
        <v>1.5504936942661718</v>
      </c>
      <c r="I16" s="3">
        <v>-35.4</v>
      </c>
      <c r="J16" s="3">
        <v>-80</v>
      </c>
      <c r="K16" s="11">
        <f t="shared" si="4"/>
        <v>44.6</v>
      </c>
      <c r="L16" s="11">
        <f t="shared" si="5"/>
        <v>-1.2905999132796238</v>
      </c>
      <c r="M16" s="12">
        <f t="shared" si="6"/>
        <v>0.86192604551348051</v>
      </c>
      <c r="N16" s="3"/>
      <c r="O16" s="11" t="e">
        <f t="shared" si="7"/>
        <v>#N/A</v>
      </c>
      <c r="P16" s="3"/>
      <c r="Q16" s="11" t="e">
        <f t="shared" si="8"/>
        <v>#N/A</v>
      </c>
      <c r="R16" s="3"/>
      <c r="S16" s="3"/>
      <c r="T16" s="13"/>
    </row>
    <row r="17" spans="1:20" x14ac:dyDescent="0.3">
      <c r="A17" s="9">
        <v>8</v>
      </c>
      <c r="B17" s="10">
        <v>0.05</v>
      </c>
      <c r="C17" s="3">
        <f t="shared" si="0"/>
        <v>0</v>
      </c>
      <c r="D17" s="3">
        <v>-30.4</v>
      </c>
      <c r="E17" s="3">
        <v>-80</v>
      </c>
      <c r="F17" s="11">
        <f t="shared" si="1"/>
        <v>49.6</v>
      </c>
      <c r="G17" s="11">
        <f t="shared" si="2"/>
        <v>3.7094000867203762</v>
      </c>
      <c r="H17" s="12">
        <f t="shared" si="3"/>
        <v>1.5327453397128941</v>
      </c>
      <c r="I17" s="3">
        <v>-33.799999999999997</v>
      </c>
      <c r="J17" s="3">
        <v>-80</v>
      </c>
      <c r="K17" s="11">
        <f t="shared" si="4"/>
        <v>46.2</v>
      </c>
      <c r="L17" s="11">
        <f t="shared" si="5"/>
        <v>0.30940008672037778</v>
      </c>
      <c r="M17" s="12">
        <f t="shared" si="6"/>
        <v>1.0362630297912874</v>
      </c>
      <c r="N17" s="3"/>
      <c r="O17" s="11" t="e">
        <f t="shared" si="7"/>
        <v>#N/A</v>
      </c>
      <c r="P17" s="3"/>
      <c r="Q17" s="11" t="e">
        <f t="shared" si="8"/>
        <v>#N/A</v>
      </c>
      <c r="R17" s="3"/>
      <c r="S17" s="3"/>
      <c r="T17" s="13"/>
    </row>
    <row r="18" spans="1:20" x14ac:dyDescent="0.3">
      <c r="A18" s="9">
        <v>9</v>
      </c>
      <c r="B18" s="10">
        <v>6.3E-2</v>
      </c>
      <c r="C18" s="3">
        <f t="shared" si="0"/>
        <v>0</v>
      </c>
      <c r="D18" s="3">
        <v>-30.4</v>
      </c>
      <c r="E18" s="3">
        <v>-80</v>
      </c>
      <c r="F18" s="11">
        <f t="shared" si="1"/>
        <v>49.6</v>
      </c>
      <c r="G18" s="11">
        <f t="shared" si="2"/>
        <v>3.7094000867203762</v>
      </c>
      <c r="H18" s="12">
        <f t="shared" si="3"/>
        <v>1.5327453397128941</v>
      </c>
      <c r="I18" s="3">
        <v>-32.1</v>
      </c>
      <c r="J18" s="3">
        <v>-80</v>
      </c>
      <c r="K18" s="11">
        <f t="shared" si="4"/>
        <v>47.9</v>
      </c>
      <c r="L18" s="11">
        <f t="shared" si="5"/>
        <v>2.0094000867203734</v>
      </c>
      <c r="M18" s="12">
        <f t="shared" si="6"/>
        <v>1.2602885898195533</v>
      </c>
      <c r="N18" s="3"/>
      <c r="O18" s="11" t="e">
        <f t="shared" si="7"/>
        <v>#N/A</v>
      </c>
      <c r="P18" s="3"/>
      <c r="Q18" s="11" t="e">
        <f t="shared" si="8"/>
        <v>#N/A</v>
      </c>
      <c r="R18" s="3"/>
      <c r="S18" s="3"/>
      <c r="T18" s="13"/>
    </row>
    <row r="19" spans="1:20" x14ac:dyDescent="0.3">
      <c r="A19" s="9">
        <v>10</v>
      </c>
      <c r="B19" s="10">
        <v>0.08</v>
      </c>
      <c r="C19" s="3">
        <f t="shared" si="0"/>
        <v>0</v>
      </c>
      <c r="D19" s="3">
        <v>-30.5</v>
      </c>
      <c r="E19" s="3">
        <v>-80</v>
      </c>
      <c r="F19" s="11">
        <f t="shared" si="1"/>
        <v>49.5</v>
      </c>
      <c r="G19" s="11">
        <f t="shared" si="2"/>
        <v>3.6094000867203748</v>
      </c>
      <c r="H19" s="12">
        <f t="shared" si="3"/>
        <v>1.5152001488941822</v>
      </c>
      <c r="I19" s="3">
        <v>-30.7</v>
      </c>
      <c r="J19" s="3">
        <v>-80</v>
      </c>
      <c r="K19" s="11">
        <f t="shared" si="4"/>
        <v>49.3</v>
      </c>
      <c r="L19" s="11">
        <f t="shared" si="5"/>
        <v>3.4094000867203755</v>
      </c>
      <c r="M19" s="12">
        <f t="shared" si="6"/>
        <v>1.4807099826971812</v>
      </c>
      <c r="N19" s="3"/>
      <c r="O19" s="11" t="e">
        <f t="shared" si="7"/>
        <v>#N/A</v>
      </c>
      <c r="P19" s="3"/>
      <c r="Q19" s="11" t="e">
        <f t="shared" si="8"/>
        <v>#N/A</v>
      </c>
      <c r="R19" s="3"/>
      <c r="S19" s="3"/>
      <c r="T19" s="13"/>
    </row>
    <row r="20" spans="1:20" x14ac:dyDescent="0.3">
      <c r="A20" s="9">
        <v>11</v>
      </c>
      <c r="B20" s="10">
        <v>0.1</v>
      </c>
      <c r="C20" s="3">
        <f t="shared" si="0"/>
        <v>0</v>
      </c>
      <c r="D20" s="3">
        <v>-30.7</v>
      </c>
      <c r="E20" s="3">
        <v>-80</v>
      </c>
      <c r="F20" s="11">
        <f t="shared" si="1"/>
        <v>49.3</v>
      </c>
      <c r="G20" s="11">
        <f t="shared" si="2"/>
        <v>3.4094000867203755</v>
      </c>
      <c r="H20" s="12">
        <f t="shared" si="3"/>
        <v>1.4807099826971812</v>
      </c>
      <c r="I20" s="3">
        <v>-29.8</v>
      </c>
      <c r="J20" s="3">
        <v>-80</v>
      </c>
      <c r="K20" s="11">
        <f t="shared" si="4"/>
        <v>50.2</v>
      </c>
      <c r="L20" s="11">
        <f t="shared" si="5"/>
        <v>4.3094000867203741</v>
      </c>
      <c r="M20" s="12">
        <f t="shared" si="6"/>
        <v>1.6423662215153387</v>
      </c>
      <c r="N20" s="3"/>
      <c r="O20" s="11" t="e">
        <f t="shared" si="7"/>
        <v>#N/A</v>
      </c>
      <c r="P20" s="3"/>
      <c r="Q20" s="11" t="e">
        <f t="shared" si="8"/>
        <v>#N/A</v>
      </c>
      <c r="R20" s="3"/>
      <c r="S20" s="3"/>
      <c r="T20" s="13"/>
    </row>
    <row r="21" spans="1:20" x14ac:dyDescent="0.3">
      <c r="A21" s="9">
        <v>12</v>
      </c>
      <c r="B21" s="10">
        <v>0.125</v>
      </c>
      <c r="C21" s="3">
        <f t="shared" si="0"/>
        <v>0</v>
      </c>
      <c r="D21" s="3">
        <v>-30.8</v>
      </c>
      <c r="E21" s="3">
        <v>-80</v>
      </c>
      <c r="F21" s="11">
        <f t="shared" si="1"/>
        <v>49.2</v>
      </c>
      <c r="G21" s="11">
        <f t="shared" si="2"/>
        <v>3.3094000867203741</v>
      </c>
      <c r="H21" s="12">
        <f t="shared" si="3"/>
        <v>1.4637604356847207</v>
      </c>
      <c r="I21" s="3">
        <v>-28.9</v>
      </c>
      <c r="J21" s="3">
        <v>-80</v>
      </c>
      <c r="K21" s="11">
        <f t="shared" si="4"/>
        <v>51.1</v>
      </c>
      <c r="L21" s="11">
        <f t="shared" si="5"/>
        <v>5.2094000867203762</v>
      </c>
      <c r="M21" s="12">
        <f t="shared" si="6"/>
        <v>1.8216712503424841</v>
      </c>
      <c r="N21" s="3"/>
      <c r="O21" s="11" t="e">
        <f t="shared" si="7"/>
        <v>#N/A</v>
      </c>
      <c r="P21" s="3"/>
      <c r="Q21" s="11" t="e">
        <f t="shared" si="8"/>
        <v>#N/A</v>
      </c>
      <c r="R21" s="3"/>
      <c r="S21" s="3"/>
      <c r="T21" s="13"/>
    </row>
    <row r="22" spans="1:20" x14ac:dyDescent="0.3">
      <c r="A22" s="9">
        <v>13</v>
      </c>
      <c r="B22" s="10">
        <v>0.16</v>
      </c>
      <c r="C22" s="3">
        <f t="shared" si="0"/>
        <v>0</v>
      </c>
      <c r="D22" s="3">
        <v>-30.7</v>
      </c>
      <c r="E22" s="3">
        <v>-80</v>
      </c>
      <c r="F22" s="11">
        <f t="shared" si="1"/>
        <v>49.3</v>
      </c>
      <c r="G22" s="11">
        <f t="shared" si="2"/>
        <v>3.4094000867203755</v>
      </c>
      <c r="H22" s="12">
        <f t="shared" si="3"/>
        <v>1.4807099826971812</v>
      </c>
      <c r="I22" s="3">
        <v>-28.1</v>
      </c>
      <c r="J22" s="3">
        <v>-80</v>
      </c>
      <c r="K22" s="11">
        <f t="shared" si="4"/>
        <v>51.9</v>
      </c>
      <c r="L22" s="11">
        <f t="shared" si="5"/>
        <v>6.0094000867203734</v>
      </c>
      <c r="M22" s="12">
        <f t="shared" si="6"/>
        <v>1.9974228065414268</v>
      </c>
      <c r="N22" s="3"/>
      <c r="O22" s="11" t="e">
        <f t="shared" si="7"/>
        <v>#N/A</v>
      </c>
      <c r="P22" s="3"/>
      <c r="Q22" s="11" t="e">
        <f t="shared" si="8"/>
        <v>#N/A</v>
      </c>
      <c r="R22" s="3"/>
      <c r="S22" s="3"/>
      <c r="T22" s="13"/>
    </row>
    <row r="23" spans="1:20" x14ac:dyDescent="0.3">
      <c r="A23" s="9">
        <v>14</v>
      </c>
      <c r="B23" s="10">
        <v>0.2</v>
      </c>
      <c r="C23" s="3">
        <f t="shared" si="0"/>
        <v>0</v>
      </c>
      <c r="D23" s="3">
        <v>-30.7</v>
      </c>
      <c r="E23" s="3">
        <v>-80</v>
      </c>
      <c r="F23" s="11">
        <f t="shared" si="1"/>
        <v>49.3</v>
      </c>
      <c r="G23" s="11">
        <f t="shared" si="2"/>
        <v>3.4094000867203755</v>
      </c>
      <c r="H23" s="12">
        <f t="shared" si="3"/>
        <v>1.4807099826971812</v>
      </c>
      <c r="I23" s="3">
        <v>-27.5</v>
      </c>
      <c r="J23" s="3">
        <v>-80</v>
      </c>
      <c r="K23" s="11">
        <f t="shared" si="4"/>
        <v>52.5</v>
      </c>
      <c r="L23" s="11">
        <f t="shared" si="5"/>
        <v>6.6094000867203748</v>
      </c>
      <c r="M23" s="12">
        <f t="shared" si="6"/>
        <v>2.1402770979310199</v>
      </c>
      <c r="N23" s="3"/>
      <c r="O23" s="11" t="e">
        <f t="shared" si="7"/>
        <v>#N/A</v>
      </c>
      <c r="P23" s="3"/>
      <c r="Q23" s="11" t="e">
        <f t="shared" si="8"/>
        <v>#N/A</v>
      </c>
      <c r="R23" s="3"/>
      <c r="S23" s="3"/>
      <c r="T23" s="13"/>
    </row>
    <row r="24" spans="1:20" x14ac:dyDescent="0.3">
      <c r="A24" s="9">
        <v>15</v>
      </c>
      <c r="B24" s="10">
        <v>0.25</v>
      </c>
      <c r="C24" s="3">
        <f t="shared" si="0"/>
        <v>0</v>
      </c>
      <c r="D24" s="3">
        <v>-30.7</v>
      </c>
      <c r="E24" s="3">
        <v>-80</v>
      </c>
      <c r="F24" s="11">
        <f t="shared" si="1"/>
        <v>49.3</v>
      </c>
      <c r="G24" s="11">
        <f t="shared" si="2"/>
        <v>3.4094000867203755</v>
      </c>
      <c r="H24" s="12">
        <f t="shared" si="3"/>
        <v>1.4807099826971812</v>
      </c>
      <c r="I24" s="3">
        <v>-27.1</v>
      </c>
      <c r="J24" s="3">
        <v>-80</v>
      </c>
      <c r="K24" s="11">
        <f t="shared" si="4"/>
        <v>52.9</v>
      </c>
      <c r="L24" s="11">
        <f t="shared" si="5"/>
        <v>7.0094000867203734</v>
      </c>
      <c r="M24" s="12">
        <f t="shared" si="6"/>
        <v>2.2411452499831013</v>
      </c>
      <c r="N24" s="3"/>
      <c r="O24" s="11" t="e">
        <f t="shared" si="7"/>
        <v>#N/A</v>
      </c>
      <c r="P24" s="3"/>
      <c r="Q24" s="11" t="e">
        <f t="shared" si="8"/>
        <v>#N/A</v>
      </c>
      <c r="R24" s="3"/>
      <c r="S24" s="3"/>
      <c r="T24" s="13"/>
    </row>
    <row r="25" spans="1:20" x14ac:dyDescent="0.3">
      <c r="A25" s="9">
        <v>16</v>
      </c>
      <c r="B25" s="10">
        <v>0.315</v>
      </c>
      <c r="C25" s="3">
        <f t="shared" si="0"/>
        <v>0</v>
      </c>
      <c r="D25" s="3">
        <v>-30.5</v>
      </c>
      <c r="E25" s="3">
        <v>-80</v>
      </c>
      <c r="F25" s="11">
        <f t="shared" si="1"/>
        <v>49.5</v>
      </c>
      <c r="G25" s="11">
        <f t="shared" si="2"/>
        <v>3.6094000867203748</v>
      </c>
      <c r="H25" s="12">
        <f t="shared" si="3"/>
        <v>1.5152001488941822</v>
      </c>
      <c r="I25" s="3">
        <v>-26.7</v>
      </c>
      <c r="J25" s="3">
        <v>-80</v>
      </c>
      <c r="K25" s="11">
        <f t="shared" si="4"/>
        <v>53.3</v>
      </c>
      <c r="L25" s="11">
        <f t="shared" si="5"/>
        <v>7.4094000867203755</v>
      </c>
      <c r="M25" s="12">
        <f t="shared" si="6"/>
        <v>2.3467671715859759</v>
      </c>
      <c r="N25" s="3"/>
      <c r="O25" s="11" t="e">
        <f t="shared" si="7"/>
        <v>#N/A</v>
      </c>
      <c r="P25" s="3"/>
      <c r="Q25" s="11" t="e">
        <f t="shared" si="8"/>
        <v>#N/A</v>
      </c>
      <c r="R25" s="3"/>
      <c r="S25" s="3"/>
      <c r="T25" s="13"/>
    </row>
    <row r="26" spans="1:20" x14ac:dyDescent="0.3">
      <c r="A26" s="9">
        <v>17</v>
      </c>
      <c r="B26" s="10">
        <v>0.4</v>
      </c>
      <c r="C26" s="3">
        <f t="shared" si="0"/>
        <v>0</v>
      </c>
      <c r="D26" s="3">
        <v>-30.5</v>
      </c>
      <c r="E26" s="3">
        <v>-80</v>
      </c>
      <c r="F26" s="11">
        <f t="shared" si="1"/>
        <v>49.5</v>
      </c>
      <c r="G26" s="11">
        <f t="shared" si="2"/>
        <v>3.6094000867203748</v>
      </c>
      <c r="H26" s="12">
        <f t="shared" si="3"/>
        <v>1.5152001488941822</v>
      </c>
      <c r="I26" s="3">
        <v>-26.4</v>
      </c>
      <c r="J26" s="3">
        <v>-80</v>
      </c>
      <c r="K26" s="11">
        <f t="shared" si="4"/>
        <v>53.6</v>
      </c>
      <c r="L26" s="11">
        <f t="shared" si="5"/>
        <v>7.7094000867203762</v>
      </c>
      <c r="M26" s="12">
        <f t="shared" si="6"/>
        <v>2.4292376546874626</v>
      </c>
      <c r="N26" s="3"/>
      <c r="O26" s="11" t="e">
        <f t="shared" si="7"/>
        <v>#N/A</v>
      </c>
      <c r="P26" s="3"/>
      <c r="Q26" s="11" t="e">
        <f t="shared" si="8"/>
        <v>#N/A</v>
      </c>
      <c r="R26" s="3"/>
      <c r="S26" s="3"/>
      <c r="T26" s="13"/>
    </row>
    <row r="27" spans="1:20" x14ac:dyDescent="0.3">
      <c r="A27" s="9">
        <v>18</v>
      </c>
      <c r="B27" s="10">
        <v>0.5</v>
      </c>
      <c r="C27" s="3">
        <f t="shared" si="0"/>
        <v>0</v>
      </c>
      <c r="D27" s="3">
        <v>-30.5</v>
      </c>
      <c r="E27" s="3">
        <v>-80</v>
      </c>
      <c r="F27" s="11">
        <f t="shared" si="1"/>
        <v>49.5</v>
      </c>
      <c r="G27" s="11">
        <f t="shared" si="2"/>
        <v>3.6094000867203748</v>
      </c>
      <c r="H27" s="12">
        <f t="shared" si="3"/>
        <v>1.5152001488941822</v>
      </c>
      <c r="I27" s="3">
        <v>-26.3</v>
      </c>
      <c r="J27" s="3">
        <v>-80</v>
      </c>
      <c r="K27" s="11">
        <f t="shared" si="4"/>
        <v>53.7</v>
      </c>
      <c r="L27" s="11">
        <f t="shared" si="5"/>
        <v>7.8094000867203741</v>
      </c>
      <c r="M27" s="12">
        <f t="shared" si="6"/>
        <v>2.4573669009963384</v>
      </c>
      <c r="N27" s="3"/>
      <c r="O27" s="11" t="e">
        <f t="shared" si="7"/>
        <v>#N/A</v>
      </c>
      <c r="P27" s="3"/>
      <c r="Q27" s="11" t="e">
        <f t="shared" si="8"/>
        <v>#N/A</v>
      </c>
      <c r="R27" s="3"/>
      <c r="S27" s="3"/>
      <c r="T27" s="13"/>
    </row>
    <row r="28" spans="1:20" x14ac:dyDescent="0.3">
      <c r="A28" s="9">
        <v>19</v>
      </c>
      <c r="B28" s="10">
        <v>0.63</v>
      </c>
      <c r="C28" s="3">
        <f t="shared" si="0"/>
        <v>0</v>
      </c>
      <c r="D28" s="3">
        <v>-30.6</v>
      </c>
      <c r="E28" s="3">
        <v>-80</v>
      </c>
      <c r="F28" s="11">
        <f t="shared" si="1"/>
        <v>49.4</v>
      </c>
      <c r="G28" s="11">
        <f t="shared" si="2"/>
        <v>3.5094000867203734</v>
      </c>
      <c r="H28" s="12">
        <f t="shared" si="3"/>
        <v>1.497855796213998</v>
      </c>
      <c r="I28" s="3">
        <v>-26.3</v>
      </c>
      <c r="J28" s="3">
        <v>-80</v>
      </c>
      <c r="K28" s="11">
        <f t="shared" si="4"/>
        <v>53.7</v>
      </c>
      <c r="L28" s="11">
        <f t="shared" si="5"/>
        <v>7.8094000867203741</v>
      </c>
      <c r="M28" s="12">
        <f t="shared" si="6"/>
        <v>2.4573669009963384</v>
      </c>
      <c r="N28" s="3"/>
      <c r="O28" s="11" t="e">
        <f t="shared" si="7"/>
        <v>#N/A</v>
      </c>
      <c r="P28" s="3"/>
      <c r="Q28" s="11" t="e">
        <f t="shared" si="8"/>
        <v>#N/A</v>
      </c>
      <c r="R28" s="3"/>
      <c r="S28" s="3"/>
      <c r="T28" s="13"/>
    </row>
    <row r="29" spans="1:20" x14ac:dyDescent="0.3">
      <c r="A29" s="9">
        <v>20</v>
      </c>
      <c r="B29" s="10">
        <v>0.8</v>
      </c>
      <c r="C29" s="3">
        <f t="shared" si="0"/>
        <v>0</v>
      </c>
      <c r="D29" s="3">
        <v>-30.6</v>
      </c>
      <c r="E29" s="3">
        <v>-80</v>
      </c>
      <c r="F29" s="11">
        <f t="shared" si="1"/>
        <v>49.4</v>
      </c>
      <c r="G29" s="11">
        <f t="shared" si="2"/>
        <v>3.5094000867203734</v>
      </c>
      <c r="H29" s="12">
        <f t="shared" si="3"/>
        <v>1.497855796213998</v>
      </c>
      <c r="I29" s="3">
        <v>-26.3</v>
      </c>
      <c r="J29" s="3">
        <v>-80</v>
      </c>
      <c r="K29" s="11">
        <f t="shared" si="4"/>
        <v>53.7</v>
      </c>
      <c r="L29" s="11">
        <f t="shared" si="5"/>
        <v>7.8094000867203741</v>
      </c>
      <c r="M29" s="12">
        <f t="shared" si="6"/>
        <v>2.4573669009963384</v>
      </c>
      <c r="N29" s="3"/>
      <c r="O29" s="11" t="e">
        <f t="shared" si="7"/>
        <v>#N/A</v>
      </c>
      <c r="P29" s="3"/>
      <c r="Q29" s="11" t="e">
        <f t="shared" si="8"/>
        <v>#N/A</v>
      </c>
      <c r="R29" s="3"/>
      <c r="S29" s="3"/>
      <c r="T29" s="13"/>
    </row>
    <row r="30" spans="1:20" x14ac:dyDescent="0.3">
      <c r="A30" s="9">
        <v>21</v>
      </c>
      <c r="B30" s="14">
        <v>1</v>
      </c>
      <c r="C30" s="3">
        <f t="shared" si="0"/>
        <v>0</v>
      </c>
      <c r="D30" s="3">
        <v>-30.7</v>
      </c>
      <c r="E30" s="3">
        <v>-80</v>
      </c>
      <c r="F30" s="11">
        <f t="shared" si="1"/>
        <v>49.3</v>
      </c>
      <c r="G30" s="11">
        <f t="shared" si="2"/>
        <v>3.4094000867203755</v>
      </c>
      <c r="H30" s="12">
        <f t="shared" si="3"/>
        <v>1.4807099826971812</v>
      </c>
      <c r="I30" s="3">
        <v>-26.3</v>
      </c>
      <c r="J30" s="3">
        <v>-80</v>
      </c>
      <c r="K30" s="11">
        <f t="shared" si="4"/>
        <v>53.7</v>
      </c>
      <c r="L30" s="11">
        <f t="shared" si="5"/>
        <v>7.8094000867203741</v>
      </c>
      <c r="M30" s="12">
        <f t="shared" si="6"/>
        <v>2.4573669009963384</v>
      </c>
      <c r="N30" s="3"/>
      <c r="O30" s="11" t="e">
        <f t="shared" si="7"/>
        <v>#N/A</v>
      </c>
      <c r="P30" s="3"/>
      <c r="Q30" s="11" t="e">
        <f t="shared" si="8"/>
        <v>#N/A</v>
      </c>
      <c r="R30" s="3"/>
      <c r="S30" s="3"/>
      <c r="T30" s="13"/>
    </row>
    <row r="31" spans="1:20" x14ac:dyDescent="0.3">
      <c r="A31" s="9">
        <v>22</v>
      </c>
      <c r="B31" s="14">
        <v>1.25</v>
      </c>
      <c r="C31" s="3">
        <f t="shared" si="0"/>
        <v>0</v>
      </c>
      <c r="D31" s="3">
        <v>-31</v>
      </c>
      <c r="E31" s="3">
        <v>-74</v>
      </c>
      <c r="F31" s="11">
        <f t="shared" si="1"/>
        <v>43</v>
      </c>
      <c r="G31" s="11">
        <f t="shared" si="2"/>
        <v>3.1094000867203748</v>
      </c>
      <c r="H31" s="12">
        <f t="shared" si="3"/>
        <v>1.4304411803136032</v>
      </c>
      <c r="I31" s="3">
        <v>-26.4</v>
      </c>
      <c r="J31" s="3">
        <v>-73</v>
      </c>
      <c r="K31" s="11">
        <f>IF(OR(I31="",J31=""),"",I31-J31)</f>
        <v>46.6</v>
      </c>
      <c r="L31" s="11">
        <f t="shared" si="5"/>
        <v>7.7094000867203762</v>
      </c>
      <c r="M31" s="12">
        <f t="shared" si="6"/>
        <v>2.4292376546874626</v>
      </c>
      <c r="N31" s="3"/>
      <c r="O31" s="11" t="e">
        <f t="shared" si="7"/>
        <v>#N/A</v>
      </c>
      <c r="P31" s="3"/>
      <c r="Q31" s="11" t="e">
        <f t="shared" si="8"/>
        <v>#N/A</v>
      </c>
      <c r="R31" s="3"/>
      <c r="S31" s="3"/>
      <c r="T31" s="13"/>
    </row>
    <row r="32" spans="1:20" x14ac:dyDescent="0.3">
      <c r="A32" s="9">
        <v>23</v>
      </c>
      <c r="B32" s="14">
        <v>1.6</v>
      </c>
      <c r="C32" s="3">
        <f t="shared" si="0"/>
        <v>0</v>
      </c>
      <c r="D32" s="3">
        <v>-31.2</v>
      </c>
      <c r="E32" s="3">
        <v>-75</v>
      </c>
      <c r="F32" s="11">
        <f t="shared" si="1"/>
        <v>43.8</v>
      </c>
      <c r="G32" s="11">
        <f t="shared" si="2"/>
        <v>2.9094000867203755</v>
      </c>
      <c r="H32" s="12">
        <f t="shared" si="3"/>
        <v>1.3978803637904154</v>
      </c>
      <c r="I32" s="3">
        <v>-26.7</v>
      </c>
      <c r="J32" s="3">
        <v>-74</v>
      </c>
      <c r="K32" s="11">
        <f t="shared" si="4"/>
        <v>47.3</v>
      </c>
      <c r="L32" s="11">
        <f t="shared" si="5"/>
        <v>7.4094000867203755</v>
      </c>
      <c r="M32" s="12">
        <f t="shared" si="6"/>
        <v>2.3467671715859759</v>
      </c>
      <c r="N32" s="3"/>
      <c r="O32" s="11" t="e">
        <f t="shared" si="7"/>
        <v>#N/A</v>
      </c>
      <c r="P32" s="3"/>
      <c r="Q32" s="11" t="e">
        <f t="shared" si="8"/>
        <v>#N/A</v>
      </c>
      <c r="R32" s="3"/>
      <c r="S32" s="3"/>
      <c r="T32" s="13"/>
    </row>
    <row r="33" spans="1:20" x14ac:dyDescent="0.3">
      <c r="A33" s="9">
        <v>24</v>
      </c>
      <c r="B33" s="14">
        <v>2</v>
      </c>
      <c r="C33" s="3">
        <f t="shared" si="0"/>
        <v>0</v>
      </c>
      <c r="D33" s="3">
        <v>-31.2</v>
      </c>
      <c r="E33" s="3">
        <v>-76</v>
      </c>
      <c r="F33" s="11">
        <f t="shared" si="1"/>
        <v>44.8</v>
      </c>
      <c r="G33" s="11">
        <f t="shared" si="2"/>
        <v>2.9094000867203755</v>
      </c>
      <c r="H33" s="12">
        <f t="shared" si="3"/>
        <v>1.3978803637904154</v>
      </c>
      <c r="I33" s="3">
        <v>-26.7</v>
      </c>
      <c r="J33" s="3">
        <v>-75</v>
      </c>
      <c r="K33" s="11">
        <f>IF(OR(I33="",J33=""),"",I33-J33)</f>
        <v>48.3</v>
      </c>
      <c r="L33" s="11">
        <f>IF(I33="",NA(),I33-C33+$G$5+$G$4)</f>
        <v>7.4094000867203755</v>
      </c>
      <c r="M33" s="12">
        <f>IF(I33="",NA(),10^(L33/20))</f>
        <v>2.3467671715859759</v>
      </c>
      <c r="N33" s="3"/>
      <c r="O33" s="11" t="e">
        <f t="shared" si="7"/>
        <v>#N/A</v>
      </c>
      <c r="P33" s="3"/>
      <c r="Q33" s="11" t="e">
        <f>IF(OR(I33="",P33=""),NA(),I33-P33+$G$5)</f>
        <v>#N/A</v>
      </c>
      <c r="R33" s="3"/>
      <c r="S33" s="3"/>
      <c r="T33" s="13"/>
    </row>
    <row r="34" spans="1:20" x14ac:dyDescent="0.3">
      <c r="A34" s="9">
        <v>25</v>
      </c>
      <c r="B34" s="14">
        <v>2.5</v>
      </c>
      <c r="C34" s="3">
        <f t="shared" si="0"/>
        <v>0</v>
      </c>
      <c r="D34" s="3">
        <v>-30.7</v>
      </c>
      <c r="E34" s="3">
        <v>-76</v>
      </c>
      <c r="F34" s="11">
        <f t="shared" si="1"/>
        <v>45.3</v>
      </c>
      <c r="G34" s="11">
        <f t="shared" si="2"/>
        <v>3.4094000867203755</v>
      </c>
      <c r="H34" s="12">
        <f t="shared" si="3"/>
        <v>1.4807099826971812</v>
      </c>
      <c r="I34" s="3">
        <v>-26.4</v>
      </c>
      <c r="J34" s="3">
        <v>-76</v>
      </c>
      <c r="K34" s="11">
        <f t="shared" si="4"/>
        <v>49.6</v>
      </c>
      <c r="L34" s="11">
        <f t="shared" si="5"/>
        <v>7.7094000867203762</v>
      </c>
      <c r="M34" s="12">
        <f t="shared" si="6"/>
        <v>2.4292376546874626</v>
      </c>
      <c r="N34" s="3"/>
      <c r="O34" s="11" t="e">
        <f t="shared" si="7"/>
        <v>#N/A</v>
      </c>
      <c r="P34" s="3"/>
      <c r="Q34" s="11" t="e">
        <f t="shared" si="8"/>
        <v>#N/A</v>
      </c>
      <c r="R34" s="3"/>
      <c r="S34" s="3"/>
      <c r="T34" s="13"/>
    </row>
    <row r="35" spans="1:20" x14ac:dyDescent="0.3">
      <c r="A35" s="9">
        <v>26</v>
      </c>
      <c r="B35" s="14">
        <v>3.15</v>
      </c>
      <c r="C35" s="3">
        <f t="shared" si="0"/>
        <v>0</v>
      </c>
      <c r="D35" s="3">
        <v>-30.8</v>
      </c>
      <c r="E35" s="3">
        <v>-76</v>
      </c>
      <c r="F35" s="11">
        <f t="shared" si="1"/>
        <v>45.2</v>
      </c>
      <c r="G35" s="11">
        <f t="shared" si="2"/>
        <v>3.3094000867203741</v>
      </c>
      <c r="H35" s="12">
        <f t="shared" si="3"/>
        <v>1.4637604356847207</v>
      </c>
      <c r="I35" s="3">
        <v>-26.4</v>
      </c>
      <c r="J35" s="3">
        <v>-76</v>
      </c>
      <c r="K35" s="11">
        <f t="shared" si="4"/>
        <v>49.6</v>
      </c>
      <c r="L35" s="11">
        <f t="shared" si="5"/>
        <v>7.7094000867203762</v>
      </c>
      <c r="M35" s="12">
        <f t="shared" si="6"/>
        <v>2.4292376546874626</v>
      </c>
      <c r="N35" s="3"/>
      <c r="O35" s="11" t="e">
        <f t="shared" si="7"/>
        <v>#N/A</v>
      </c>
      <c r="P35" s="3"/>
      <c r="Q35" s="11" t="e">
        <f t="shared" si="8"/>
        <v>#N/A</v>
      </c>
      <c r="R35" s="3"/>
      <c r="S35" s="3"/>
      <c r="T35" s="13"/>
    </row>
    <row r="36" spans="1:20" x14ac:dyDescent="0.3">
      <c r="A36" s="9">
        <v>27</v>
      </c>
      <c r="B36" s="14">
        <v>4</v>
      </c>
      <c r="C36" s="3">
        <f t="shared" si="0"/>
        <v>0</v>
      </c>
      <c r="D36" s="3">
        <v>-31</v>
      </c>
      <c r="E36" s="3">
        <v>-76</v>
      </c>
      <c r="F36" s="11">
        <f t="shared" si="1"/>
        <v>45</v>
      </c>
      <c r="G36" s="11">
        <f t="shared" si="2"/>
        <v>3.1094000867203748</v>
      </c>
      <c r="H36" s="12">
        <f t="shared" si="3"/>
        <v>1.4304411803136032</v>
      </c>
      <c r="I36" s="3">
        <v>-26.6</v>
      </c>
      <c r="J36" s="3">
        <v>-76</v>
      </c>
      <c r="K36" s="11">
        <f t="shared" si="4"/>
        <v>49.4</v>
      </c>
      <c r="L36" s="11">
        <f t="shared" si="5"/>
        <v>7.5094000867203734</v>
      </c>
      <c r="M36" s="12">
        <f t="shared" si="6"/>
        <v>2.3739414547079867</v>
      </c>
      <c r="N36" s="3"/>
      <c r="O36" s="11" t="e">
        <f t="shared" si="7"/>
        <v>#N/A</v>
      </c>
      <c r="P36" s="3"/>
      <c r="Q36" s="11" t="e">
        <f t="shared" si="8"/>
        <v>#N/A</v>
      </c>
      <c r="R36" s="3"/>
      <c r="S36" s="3"/>
      <c r="T36" s="13"/>
    </row>
    <row r="37" spans="1:20" x14ac:dyDescent="0.3">
      <c r="A37" s="9">
        <v>28</v>
      </c>
      <c r="B37" s="14">
        <v>5</v>
      </c>
      <c r="C37" s="3">
        <f t="shared" si="0"/>
        <v>0</v>
      </c>
      <c r="D37" s="3">
        <v>-31</v>
      </c>
      <c r="E37" s="3">
        <v>-76</v>
      </c>
      <c r="F37" s="11">
        <f t="shared" si="1"/>
        <v>45</v>
      </c>
      <c r="G37" s="11">
        <f t="shared" si="2"/>
        <v>3.1094000867203748</v>
      </c>
      <c r="H37" s="12">
        <f t="shared" si="3"/>
        <v>1.4304411803136032</v>
      </c>
      <c r="I37" s="3">
        <v>-26.6</v>
      </c>
      <c r="J37" s="3">
        <v>-76</v>
      </c>
      <c r="K37" s="11">
        <f t="shared" si="4"/>
        <v>49.4</v>
      </c>
      <c r="L37" s="11">
        <f t="shared" si="5"/>
        <v>7.5094000867203734</v>
      </c>
      <c r="M37" s="12">
        <f t="shared" si="6"/>
        <v>2.3739414547079867</v>
      </c>
      <c r="N37" s="3"/>
      <c r="O37" s="11" t="e">
        <f t="shared" si="7"/>
        <v>#N/A</v>
      </c>
      <c r="P37" s="3"/>
      <c r="Q37" s="11" t="e">
        <f t="shared" si="8"/>
        <v>#N/A</v>
      </c>
      <c r="R37" s="3"/>
      <c r="S37" s="3"/>
      <c r="T37" s="13"/>
    </row>
    <row r="38" spans="1:20" x14ac:dyDescent="0.3">
      <c r="A38" s="9">
        <v>29</v>
      </c>
      <c r="B38" s="14">
        <v>6.3</v>
      </c>
      <c r="C38" s="3">
        <f t="shared" si="0"/>
        <v>0</v>
      </c>
      <c r="D38" s="3">
        <v>-30.6</v>
      </c>
      <c r="E38" s="3">
        <v>-76</v>
      </c>
      <c r="F38" s="11">
        <f t="shared" si="1"/>
        <v>45.4</v>
      </c>
      <c r="G38" s="11">
        <f t="shared" si="2"/>
        <v>3.5094000867203734</v>
      </c>
      <c r="H38" s="12">
        <f t="shared" si="3"/>
        <v>1.497855796213998</v>
      </c>
      <c r="I38" s="3">
        <v>-26.4</v>
      </c>
      <c r="J38" s="3">
        <v>-76</v>
      </c>
      <c r="K38" s="11">
        <f t="shared" si="4"/>
        <v>49.6</v>
      </c>
      <c r="L38" s="11">
        <f t="shared" si="5"/>
        <v>7.7094000867203762</v>
      </c>
      <c r="M38" s="12">
        <f t="shared" si="6"/>
        <v>2.4292376546874626</v>
      </c>
      <c r="N38" s="3"/>
      <c r="O38" s="11" t="e">
        <f t="shared" si="7"/>
        <v>#N/A</v>
      </c>
      <c r="P38" s="3"/>
      <c r="Q38" s="11" t="e">
        <f t="shared" si="8"/>
        <v>#N/A</v>
      </c>
      <c r="R38" s="3"/>
      <c r="S38" s="3"/>
      <c r="T38" s="13"/>
    </row>
    <row r="39" spans="1:20" x14ac:dyDescent="0.3">
      <c r="A39" s="9">
        <v>30</v>
      </c>
      <c r="B39" s="14">
        <v>8</v>
      </c>
      <c r="C39" s="3">
        <f t="shared" si="0"/>
        <v>0</v>
      </c>
      <c r="D39" s="3">
        <v>-30.9</v>
      </c>
      <c r="E39" s="3">
        <v>-76</v>
      </c>
      <c r="F39" s="11">
        <f t="shared" si="1"/>
        <v>45.1</v>
      </c>
      <c r="G39" s="11">
        <f t="shared" si="2"/>
        <v>3.2094000867203762</v>
      </c>
      <c r="H39" s="12">
        <f t="shared" si="3"/>
        <v>1.4470049085325201</v>
      </c>
      <c r="I39" s="3">
        <v>-26.9</v>
      </c>
      <c r="J39" s="3">
        <v>-76</v>
      </c>
      <c r="K39" s="11">
        <f t="shared" si="4"/>
        <v>49.1</v>
      </c>
      <c r="L39" s="11">
        <f t="shared" si="5"/>
        <v>7.2094000867203762</v>
      </c>
      <c r="M39" s="12">
        <f t="shared" si="6"/>
        <v>2.2933482289910074</v>
      </c>
      <c r="N39" s="3"/>
      <c r="O39" s="11" t="e">
        <f t="shared" si="7"/>
        <v>#N/A</v>
      </c>
      <c r="P39" s="3"/>
      <c r="Q39" s="11" t="e">
        <f t="shared" si="8"/>
        <v>#N/A</v>
      </c>
      <c r="R39" s="3"/>
      <c r="S39" s="3"/>
      <c r="T39" s="13"/>
    </row>
    <row r="40" spans="1:20" x14ac:dyDescent="0.3">
      <c r="A40" s="9">
        <v>31</v>
      </c>
      <c r="B40" s="14">
        <v>10</v>
      </c>
      <c r="C40" s="3">
        <f t="shared" si="0"/>
        <v>0</v>
      </c>
      <c r="D40" s="3">
        <v>-30.7</v>
      </c>
      <c r="E40" s="3">
        <v>-76</v>
      </c>
      <c r="F40" s="11">
        <f t="shared" si="1"/>
        <v>45.3</v>
      </c>
      <c r="G40" s="11">
        <f t="shared" si="2"/>
        <v>3.4094000867203755</v>
      </c>
      <c r="H40" s="12">
        <f t="shared" si="3"/>
        <v>1.4807099826971812</v>
      </c>
      <c r="I40" s="3">
        <v>-27.5</v>
      </c>
      <c r="J40" s="3">
        <v>-76</v>
      </c>
      <c r="K40" s="11">
        <f t="shared" si="4"/>
        <v>48.5</v>
      </c>
      <c r="L40" s="11">
        <f t="shared" si="5"/>
        <v>6.6094000867203748</v>
      </c>
      <c r="M40" s="12">
        <f t="shared" si="6"/>
        <v>2.1402770979310199</v>
      </c>
      <c r="N40" s="3"/>
      <c r="O40" s="11" t="e">
        <f t="shared" si="7"/>
        <v>#N/A</v>
      </c>
      <c r="P40" s="3"/>
      <c r="Q40" s="11" t="e">
        <f t="shared" si="8"/>
        <v>#N/A</v>
      </c>
      <c r="R40" s="3"/>
      <c r="S40" s="3"/>
      <c r="T40" s="13"/>
    </row>
    <row r="41" spans="1:20" x14ac:dyDescent="0.3">
      <c r="A41" s="9">
        <v>32</v>
      </c>
      <c r="B41" s="14">
        <v>12.5</v>
      </c>
      <c r="C41" s="3">
        <f t="shared" si="0"/>
        <v>0</v>
      </c>
      <c r="D41" s="3">
        <v>-30.2</v>
      </c>
      <c r="E41" s="3">
        <v>-76</v>
      </c>
      <c r="F41" s="11">
        <f t="shared" si="1"/>
        <v>45.8</v>
      </c>
      <c r="G41" s="11">
        <f t="shared" si="2"/>
        <v>3.9094000867203755</v>
      </c>
      <c r="H41" s="12">
        <f t="shared" si="3"/>
        <v>1.5684475650791883</v>
      </c>
      <c r="I41" s="3">
        <v>-27.9</v>
      </c>
      <c r="J41" s="3">
        <v>-76</v>
      </c>
      <c r="K41" s="11">
        <f t="shared" si="4"/>
        <v>48.1</v>
      </c>
      <c r="L41" s="11">
        <f t="shared" si="5"/>
        <v>6.2094000867203762</v>
      </c>
      <c r="M41" s="12">
        <f t="shared" si="6"/>
        <v>2.0439487605555988</v>
      </c>
      <c r="N41" s="3"/>
      <c r="O41" s="11" t="e">
        <f t="shared" si="7"/>
        <v>#N/A</v>
      </c>
      <c r="P41" s="3"/>
      <c r="Q41" s="11" t="e">
        <f t="shared" si="8"/>
        <v>#N/A</v>
      </c>
      <c r="R41" s="3"/>
      <c r="S41" s="3"/>
      <c r="T41" s="13"/>
    </row>
    <row r="42" spans="1:20" x14ac:dyDescent="0.3">
      <c r="A42" s="9">
        <v>33</v>
      </c>
      <c r="B42" s="14">
        <v>16</v>
      </c>
      <c r="C42" s="3">
        <f t="shared" ref="C42:C64" si="9">$G$3</f>
        <v>0</v>
      </c>
      <c r="D42" s="3">
        <v>-29.7</v>
      </c>
      <c r="E42" s="3">
        <v>-76</v>
      </c>
      <c r="F42" s="11">
        <f t="shared" ref="F42:F64" si="10">IF(OR(D42="",E42=""),"",D42-E42)</f>
        <v>46.3</v>
      </c>
      <c r="G42" s="11">
        <f t="shared" ref="G42:G64" si="11">IF(D42="",NA(),D42-C42+$G$5+$G$4)</f>
        <v>4.4094000867203755</v>
      </c>
      <c r="H42" s="12">
        <f t="shared" ref="H42:H64" si="12">IF(D42="",NA(),10^(G42/20))</f>
        <v>1.6613839260553784</v>
      </c>
      <c r="I42" s="3">
        <v>-29.4</v>
      </c>
      <c r="J42" s="3">
        <v>-76</v>
      </c>
      <c r="K42" s="11">
        <f t="shared" ref="K42:K64" si="13">IF(OR(I42="",J42=""),"",I42-J42)</f>
        <v>46.6</v>
      </c>
      <c r="L42" s="11">
        <f t="shared" ref="L42:L64" si="14">IF(I42="",NA(),I42-C42+$G$5+$G$4)</f>
        <v>4.7094000867203762</v>
      </c>
      <c r="M42" s="12">
        <f t="shared" ref="M42:M64" si="15">IF(I42="",NA(),10^(L42/20))</f>
        <v>1.7197685569031993</v>
      </c>
      <c r="N42" s="3"/>
      <c r="O42" s="11" t="e">
        <f t="shared" ref="O42:O64" si="16">IF(OR(D42="",N42=""),NA(),D42-N42+$G$5)</f>
        <v>#N/A</v>
      </c>
      <c r="P42" s="3"/>
      <c r="Q42" s="11" t="e">
        <f t="shared" ref="Q42:Q64" si="17">IF(OR(I42="",P42=""),NA(),I42-P42+$G$5)</f>
        <v>#N/A</v>
      </c>
      <c r="R42" s="3"/>
      <c r="S42" s="3"/>
      <c r="T42" s="13"/>
    </row>
    <row r="43" spans="1:20" x14ac:dyDescent="0.3">
      <c r="A43" s="9">
        <v>34</v>
      </c>
      <c r="B43" s="14">
        <v>20</v>
      </c>
      <c r="C43" s="3">
        <f t="shared" si="9"/>
        <v>0</v>
      </c>
      <c r="D43" s="3">
        <v>-30</v>
      </c>
      <c r="E43" s="3">
        <v>-76</v>
      </c>
      <c r="F43" s="11">
        <f t="shared" si="10"/>
        <v>46</v>
      </c>
      <c r="G43" s="11">
        <f t="shared" si="11"/>
        <v>4.1094000867203748</v>
      </c>
      <c r="H43" s="12">
        <f t="shared" si="12"/>
        <v>1.6049814021053452</v>
      </c>
      <c r="I43" s="3">
        <v>-29.5</v>
      </c>
      <c r="J43" s="3">
        <v>-76</v>
      </c>
      <c r="K43" s="11">
        <f t="shared" si="13"/>
        <v>46.5</v>
      </c>
      <c r="L43" s="11">
        <f t="shared" si="14"/>
        <v>4.6094000867203748</v>
      </c>
      <c r="M43" s="12">
        <f t="shared" si="15"/>
        <v>1.7000825290203552</v>
      </c>
      <c r="N43" s="3"/>
      <c r="O43" s="11" t="e">
        <f t="shared" si="16"/>
        <v>#N/A</v>
      </c>
      <c r="P43" s="3"/>
      <c r="Q43" s="11" t="e">
        <f t="shared" si="17"/>
        <v>#N/A</v>
      </c>
      <c r="R43" s="3"/>
      <c r="S43" s="3"/>
      <c r="T43" s="13"/>
    </row>
    <row r="44" spans="1:20" x14ac:dyDescent="0.3">
      <c r="A44" s="9">
        <v>35</v>
      </c>
      <c r="B44" s="14">
        <v>22.4</v>
      </c>
      <c r="C44" s="3">
        <f t="shared" si="9"/>
        <v>0</v>
      </c>
      <c r="D44" s="3">
        <v>-29.4</v>
      </c>
      <c r="E44" s="3">
        <v>-76</v>
      </c>
      <c r="F44" s="11">
        <f t="shared" si="10"/>
        <v>46.6</v>
      </c>
      <c r="G44" s="11">
        <f t="shared" si="11"/>
        <v>4.7094000867203762</v>
      </c>
      <c r="H44" s="12">
        <f t="shared" si="12"/>
        <v>1.7197685569031993</v>
      </c>
      <c r="I44" s="3">
        <v>-29.8</v>
      </c>
      <c r="J44" s="3">
        <v>-76</v>
      </c>
      <c r="K44" s="11">
        <f t="shared" si="13"/>
        <v>46.2</v>
      </c>
      <c r="L44" s="11">
        <f t="shared" si="14"/>
        <v>4.3094000867203741</v>
      </c>
      <c r="M44" s="12">
        <f t="shared" si="15"/>
        <v>1.6423662215153387</v>
      </c>
      <c r="N44" s="3"/>
      <c r="O44" s="11" t="e">
        <f t="shared" si="16"/>
        <v>#N/A</v>
      </c>
      <c r="P44" s="3"/>
      <c r="Q44" s="11" t="e">
        <f t="shared" si="17"/>
        <v>#N/A</v>
      </c>
      <c r="R44" s="3"/>
      <c r="S44" s="3"/>
      <c r="T44" s="13"/>
    </row>
    <row r="45" spans="1:20" x14ac:dyDescent="0.3">
      <c r="A45" s="9">
        <v>36</v>
      </c>
      <c r="B45" s="14">
        <v>25</v>
      </c>
      <c r="C45" s="3">
        <f t="shared" si="9"/>
        <v>0</v>
      </c>
      <c r="D45" s="3">
        <v>-29</v>
      </c>
      <c r="E45" s="3">
        <v>-76</v>
      </c>
      <c r="F45" s="11">
        <f t="shared" si="10"/>
        <v>47</v>
      </c>
      <c r="G45" s="11">
        <f t="shared" si="11"/>
        <v>5.1094000867203748</v>
      </c>
      <c r="H45" s="12">
        <f t="shared" si="12"/>
        <v>1.8008187519736374</v>
      </c>
      <c r="I45" s="3">
        <v>-30</v>
      </c>
      <c r="J45" s="3">
        <v>-76</v>
      </c>
      <c r="K45" s="11">
        <f t="shared" si="13"/>
        <v>46</v>
      </c>
      <c r="L45" s="11">
        <f t="shared" si="14"/>
        <v>4.1094000867203748</v>
      </c>
      <c r="M45" s="12">
        <f t="shared" si="15"/>
        <v>1.6049814021053452</v>
      </c>
      <c r="N45" s="3"/>
      <c r="O45" s="11" t="e">
        <f t="shared" si="16"/>
        <v>#N/A</v>
      </c>
      <c r="P45" s="3"/>
      <c r="Q45" s="11" t="e">
        <f t="shared" si="17"/>
        <v>#N/A</v>
      </c>
      <c r="R45" s="3"/>
      <c r="S45" s="3"/>
      <c r="T45" s="13"/>
    </row>
    <row r="46" spans="1:20" x14ac:dyDescent="0.3">
      <c r="A46" s="9">
        <v>37</v>
      </c>
      <c r="B46" s="14">
        <v>28</v>
      </c>
      <c r="C46" s="3">
        <f t="shared" si="9"/>
        <v>0</v>
      </c>
      <c r="D46" s="3">
        <v>-28</v>
      </c>
      <c r="E46" s="3">
        <v>-76</v>
      </c>
      <c r="F46" s="11">
        <f t="shared" si="10"/>
        <v>48</v>
      </c>
      <c r="G46" s="11">
        <f t="shared" si="11"/>
        <v>6.1094000867203748</v>
      </c>
      <c r="H46" s="12">
        <f t="shared" si="12"/>
        <v>2.0205518725674514</v>
      </c>
      <c r="I46" s="3">
        <v>-30.1</v>
      </c>
      <c r="J46" s="3">
        <v>-76</v>
      </c>
      <c r="K46" s="11">
        <f t="shared" si="13"/>
        <v>45.9</v>
      </c>
      <c r="L46" s="11">
        <f t="shared" si="14"/>
        <v>4.0094000867203734</v>
      </c>
      <c r="M46" s="12">
        <f t="shared" si="15"/>
        <v>1.5866093319180714</v>
      </c>
      <c r="N46" s="3"/>
      <c r="O46" s="11" t="e">
        <f t="shared" si="16"/>
        <v>#N/A</v>
      </c>
      <c r="P46" s="3"/>
      <c r="Q46" s="11" t="e">
        <f t="shared" si="17"/>
        <v>#N/A</v>
      </c>
      <c r="R46" s="3"/>
      <c r="S46" s="3"/>
      <c r="T46" s="13"/>
    </row>
    <row r="47" spans="1:20" x14ac:dyDescent="0.3">
      <c r="A47" s="9">
        <v>38</v>
      </c>
      <c r="B47" s="14">
        <v>31.5</v>
      </c>
      <c r="C47" s="3">
        <f t="shared" si="9"/>
        <v>0</v>
      </c>
      <c r="D47" s="3">
        <v>-27</v>
      </c>
      <c r="E47" s="3">
        <v>-76</v>
      </c>
      <c r="F47" s="11">
        <f t="shared" si="10"/>
        <v>49</v>
      </c>
      <c r="G47" s="11">
        <f t="shared" si="11"/>
        <v>7.1094000867203748</v>
      </c>
      <c r="H47" s="12">
        <f t="shared" si="12"/>
        <v>2.2670964888950698</v>
      </c>
      <c r="I47" s="3">
        <v>-30</v>
      </c>
      <c r="J47" s="3">
        <v>-76</v>
      </c>
      <c r="K47" s="11">
        <f t="shared" si="13"/>
        <v>46</v>
      </c>
      <c r="L47" s="11">
        <f t="shared" si="14"/>
        <v>4.1094000867203748</v>
      </c>
      <c r="M47" s="12">
        <f t="shared" si="15"/>
        <v>1.6049814021053452</v>
      </c>
      <c r="N47" s="3"/>
      <c r="O47" s="11" t="e">
        <f t="shared" si="16"/>
        <v>#N/A</v>
      </c>
      <c r="P47" s="3"/>
      <c r="Q47" s="11" t="e">
        <f t="shared" si="17"/>
        <v>#N/A</v>
      </c>
      <c r="R47" s="3"/>
      <c r="S47" s="3"/>
      <c r="T47" s="13"/>
    </row>
    <row r="48" spans="1:20" x14ac:dyDescent="0.3">
      <c r="A48" s="9">
        <v>39</v>
      </c>
      <c r="B48" s="14">
        <v>35.5</v>
      </c>
      <c r="C48" s="3">
        <f t="shared" si="9"/>
        <v>0</v>
      </c>
      <c r="D48" s="3">
        <v>-26.2</v>
      </c>
      <c r="E48" s="3">
        <v>-76</v>
      </c>
      <c r="F48" s="11">
        <f t="shared" si="10"/>
        <v>49.8</v>
      </c>
      <c r="G48" s="11">
        <f t="shared" si="11"/>
        <v>7.9094000867203755</v>
      </c>
      <c r="H48" s="12">
        <f t="shared" si="12"/>
        <v>2.4858218686262146</v>
      </c>
      <c r="I48" s="3">
        <v>-30.1</v>
      </c>
      <c r="J48" s="3">
        <v>-76</v>
      </c>
      <c r="K48" s="11">
        <f t="shared" si="13"/>
        <v>45.9</v>
      </c>
      <c r="L48" s="11">
        <f t="shared" si="14"/>
        <v>4.0094000867203734</v>
      </c>
      <c r="M48" s="12">
        <f t="shared" si="15"/>
        <v>1.5866093319180714</v>
      </c>
      <c r="N48" s="3"/>
      <c r="O48" s="11" t="e">
        <f t="shared" si="16"/>
        <v>#N/A</v>
      </c>
      <c r="P48" s="3"/>
      <c r="Q48" s="11" t="e">
        <f t="shared" si="17"/>
        <v>#N/A</v>
      </c>
      <c r="R48" s="3"/>
      <c r="S48" s="3"/>
      <c r="T48" s="13"/>
    </row>
    <row r="49" spans="1:20" x14ac:dyDescent="0.3">
      <c r="A49" s="9">
        <v>40</v>
      </c>
      <c r="B49" s="14">
        <v>40</v>
      </c>
      <c r="C49" s="3">
        <f t="shared" si="9"/>
        <v>0</v>
      </c>
      <c r="D49" s="3">
        <v>-26.1</v>
      </c>
      <c r="E49" s="3">
        <v>-76</v>
      </c>
      <c r="F49" s="11">
        <f t="shared" si="10"/>
        <v>49.9</v>
      </c>
      <c r="G49" s="11">
        <f t="shared" si="11"/>
        <v>8.0094000867203743</v>
      </c>
      <c r="H49" s="12">
        <f t="shared" si="12"/>
        <v>2.5146063292522269</v>
      </c>
      <c r="I49" s="3">
        <v>-31.1</v>
      </c>
      <c r="J49" s="3">
        <v>-76</v>
      </c>
      <c r="K49" s="11">
        <f t="shared" si="13"/>
        <v>44.9</v>
      </c>
      <c r="L49" s="11">
        <f t="shared" si="14"/>
        <v>3.0094000867203734</v>
      </c>
      <c r="M49" s="12">
        <f t="shared" si="15"/>
        <v>1.4140670555237365</v>
      </c>
      <c r="N49" s="3"/>
      <c r="O49" s="11" t="e">
        <f t="shared" si="16"/>
        <v>#N/A</v>
      </c>
      <c r="P49" s="3"/>
      <c r="Q49" s="11" t="e">
        <f t="shared" si="17"/>
        <v>#N/A</v>
      </c>
      <c r="R49" s="3"/>
      <c r="S49" s="3"/>
      <c r="T49" s="13"/>
    </row>
    <row r="50" spans="1:20" x14ac:dyDescent="0.3">
      <c r="A50" s="9">
        <v>41</v>
      </c>
      <c r="B50" s="14">
        <v>45</v>
      </c>
      <c r="C50" s="3">
        <f t="shared" si="9"/>
        <v>0</v>
      </c>
      <c r="D50" s="3">
        <v>-25.8</v>
      </c>
      <c r="E50" s="3">
        <v>-76</v>
      </c>
      <c r="F50" s="11">
        <f t="shared" si="10"/>
        <v>50.2</v>
      </c>
      <c r="G50" s="11">
        <f t="shared" si="11"/>
        <v>8.309400086720375</v>
      </c>
      <c r="H50" s="12">
        <f t="shared" si="12"/>
        <v>2.6029750440077422</v>
      </c>
      <c r="I50" s="3">
        <v>-32.5</v>
      </c>
      <c r="J50" s="3">
        <v>-76</v>
      </c>
      <c r="K50" s="11">
        <f t="shared" si="13"/>
        <v>43.5</v>
      </c>
      <c r="L50" s="11">
        <f t="shared" si="14"/>
        <v>1.6094000867203748</v>
      </c>
      <c r="M50" s="12">
        <f t="shared" si="15"/>
        <v>1.2035662595250842</v>
      </c>
      <c r="N50" s="3"/>
      <c r="O50" s="11" t="e">
        <f t="shared" si="16"/>
        <v>#N/A</v>
      </c>
      <c r="P50" s="3"/>
      <c r="Q50" s="11" t="e">
        <f t="shared" si="17"/>
        <v>#N/A</v>
      </c>
      <c r="R50" s="3"/>
      <c r="S50" s="3"/>
      <c r="T50" s="13"/>
    </row>
    <row r="51" spans="1:20" x14ac:dyDescent="0.3">
      <c r="A51" s="9">
        <v>42</v>
      </c>
      <c r="B51" s="14">
        <v>50</v>
      </c>
      <c r="C51" s="3">
        <f t="shared" si="9"/>
        <v>0</v>
      </c>
      <c r="D51" s="3">
        <v>-26.3</v>
      </c>
      <c r="E51" s="3">
        <v>-76</v>
      </c>
      <c r="F51" s="11">
        <f t="shared" si="10"/>
        <v>49.7</v>
      </c>
      <c r="G51" s="11">
        <f t="shared" si="11"/>
        <v>7.8094000867203741</v>
      </c>
      <c r="H51" s="12">
        <f t="shared" si="12"/>
        <v>2.4573669009963384</v>
      </c>
      <c r="I51" s="3">
        <v>-35.5</v>
      </c>
      <c r="J51" s="3">
        <v>-76</v>
      </c>
      <c r="K51" s="11">
        <f t="shared" si="13"/>
        <v>40.5</v>
      </c>
      <c r="L51" s="11">
        <f t="shared" si="14"/>
        <v>-1.3905999132796252</v>
      </c>
      <c r="M51" s="12">
        <f t="shared" si="15"/>
        <v>0.85205965965776853</v>
      </c>
      <c r="N51" s="3"/>
      <c r="O51" s="11" t="e">
        <f t="shared" si="16"/>
        <v>#N/A</v>
      </c>
      <c r="P51" s="3"/>
      <c r="Q51" s="11" t="e">
        <f t="shared" si="17"/>
        <v>#N/A</v>
      </c>
      <c r="R51" s="3"/>
      <c r="S51" s="3"/>
      <c r="T51" s="13"/>
    </row>
    <row r="52" spans="1:20" x14ac:dyDescent="0.3">
      <c r="A52" s="9">
        <v>43</v>
      </c>
      <c r="B52" s="14">
        <v>56</v>
      </c>
      <c r="C52" s="3">
        <f t="shared" si="9"/>
        <v>0</v>
      </c>
      <c r="D52" s="3">
        <v>-25.8</v>
      </c>
      <c r="E52" s="3">
        <v>-76</v>
      </c>
      <c r="F52" s="11">
        <f t="shared" si="10"/>
        <v>50.2</v>
      </c>
      <c r="G52" s="11">
        <f t="shared" si="11"/>
        <v>8.309400086720375</v>
      </c>
      <c r="H52" s="12">
        <f t="shared" si="12"/>
        <v>2.6029750440077422</v>
      </c>
      <c r="I52" s="3">
        <v>-36.1</v>
      </c>
      <c r="J52" s="3">
        <v>-76</v>
      </c>
      <c r="K52" s="11">
        <f t="shared" si="13"/>
        <v>39.9</v>
      </c>
      <c r="L52" s="11">
        <f t="shared" si="14"/>
        <v>-1.9905999132796266</v>
      </c>
      <c r="M52" s="12">
        <f t="shared" si="15"/>
        <v>0.79518834191123278</v>
      </c>
      <c r="N52" s="3"/>
      <c r="O52" s="11" t="e">
        <f t="shared" si="16"/>
        <v>#N/A</v>
      </c>
      <c r="P52" s="3"/>
      <c r="Q52" s="11" t="e">
        <f t="shared" si="17"/>
        <v>#N/A</v>
      </c>
      <c r="R52" s="3"/>
      <c r="S52" s="3"/>
      <c r="T52" s="13"/>
    </row>
    <row r="53" spans="1:20" x14ac:dyDescent="0.3">
      <c r="A53" s="9">
        <v>44</v>
      </c>
      <c r="B53" s="14">
        <v>58</v>
      </c>
      <c r="C53" s="3">
        <f t="shared" si="9"/>
        <v>0</v>
      </c>
      <c r="D53" s="3">
        <v>-26.5</v>
      </c>
      <c r="E53" s="3">
        <v>-76</v>
      </c>
      <c r="F53" s="11">
        <f t="shared" si="10"/>
        <v>49.5</v>
      </c>
      <c r="G53" s="11">
        <f t="shared" si="11"/>
        <v>7.6094000867203748</v>
      </c>
      <c r="H53" s="12">
        <f t="shared" si="12"/>
        <v>2.4014304011984549</v>
      </c>
      <c r="I53" s="3">
        <v>-27.6</v>
      </c>
      <c r="J53" s="3">
        <v>-76</v>
      </c>
      <c r="K53" s="11">
        <f t="shared" si="13"/>
        <v>48.4</v>
      </c>
      <c r="L53" s="11">
        <f t="shared" si="14"/>
        <v>6.5094000867203734</v>
      </c>
      <c r="M53" s="12">
        <f t="shared" si="15"/>
        <v>2.1157775485830816</v>
      </c>
      <c r="N53" s="3"/>
      <c r="O53" s="11" t="e">
        <f t="shared" si="16"/>
        <v>#N/A</v>
      </c>
      <c r="P53" s="3"/>
      <c r="Q53" s="11" t="e">
        <f t="shared" si="17"/>
        <v>#N/A</v>
      </c>
      <c r="R53" s="3"/>
      <c r="S53" s="3"/>
      <c r="T53" s="13"/>
    </row>
    <row r="54" spans="1:20" x14ac:dyDescent="0.3">
      <c r="A54" s="9">
        <v>45</v>
      </c>
      <c r="B54" s="14">
        <v>60</v>
      </c>
      <c r="C54" s="3">
        <f t="shared" si="9"/>
        <v>0</v>
      </c>
      <c r="D54" s="3">
        <v>-29.7</v>
      </c>
      <c r="E54" s="3">
        <v>-76</v>
      </c>
      <c r="F54" s="11">
        <f t="shared" ref="F54:F55" si="18">IF(OR(D54="",E54=""),"",D54-E54)</f>
        <v>46.3</v>
      </c>
      <c r="G54" s="11">
        <f t="shared" ref="G54:G55" si="19">IF(D54="",NA(),D54-C54+$G$5+$G$4)</f>
        <v>4.4094000867203755</v>
      </c>
      <c r="H54" s="12">
        <f t="shared" ref="H54:H55" si="20">IF(D54="",NA(),10^(G54/20))</f>
        <v>1.6613839260553784</v>
      </c>
      <c r="I54" s="3">
        <v>-25</v>
      </c>
      <c r="J54" s="3">
        <v>-76</v>
      </c>
      <c r="K54" s="11">
        <f t="shared" si="13"/>
        <v>51</v>
      </c>
      <c r="L54" s="11">
        <f t="shared" si="14"/>
        <v>9.1094000867203757</v>
      </c>
      <c r="M54" s="12">
        <f t="shared" si="15"/>
        <v>2.8541053808593371</v>
      </c>
      <c r="N54" s="3"/>
      <c r="O54" s="11" t="e">
        <f t="shared" si="16"/>
        <v>#N/A</v>
      </c>
      <c r="P54" s="3"/>
      <c r="Q54" s="11" t="e">
        <f t="shared" si="17"/>
        <v>#N/A</v>
      </c>
      <c r="R54" s="3"/>
      <c r="S54" s="3"/>
      <c r="T54" s="13"/>
    </row>
    <row r="55" spans="1:20" x14ac:dyDescent="0.3">
      <c r="A55" s="9">
        <v>46</v>
      </c>
      <c r="B55" s="14">
        <v>62</v>
      </c>
      <c r="C55" s="3">
        <f t="shared" si="9"/>
        <v>0</v>
      </c>
      <c r="D55" s="3">
        <v>-35</v>
      </c>
      <c r="E55" s="3">
        <v>-76</v>
      </c>
      <c r="F55" s="11">
        <f t="shared" si="18"/>
        <v>41</v>
      </c>
      <c r="G55" s="11">
        <f t="shared" si="19"/>
        <v>-0.89059991327962507</v>
      </c>
      <c r="H55" s="12">
        <f t="shared" si="20"/>
        <v>0.90254736856578432</v>
      </c>
      <c r="I55" s="3">
        <v>-26.1</v>
      </c>
      <c r="J55" s="3">
        <v>-76</v>
      </c>
      <c r="K55" s="11">
        <f t="shared" si="13"/>
        <v>49.9</v>
      </c>
      <c r="L55" s="11">
        <f t="shared" si="14"/>
        <v>8.0094000867203743</v>
      </c>
      <c r="M55" s="12">
        <f t="shared" si="15"/>
        <v>2.5146063292522269</v>
      </c>
      <c r="N55" s="3"/>
      <c r="O55" s="11" t="e">
        <f t="shared" si="16"/>
        <v>#N/A</v>
      </c>
      <c r="P55" s="3"/>
      <c r="Q55" s="11" t="e">
        <f t="shared" si="17"/>
        <v>#N/A</v>
      </c>
      <c r="R55" s="3"/>
      <c r="S55" s="3"/>
      <c r="T55" s="13"/>
    </row>
    <row r="56" spans="1:20" x14ac:dyDescent="0.3">
      <c r="A56" s="9">
        <v>47</v>
      </c>
      <c r="B56" s="14">
        <v>63</v>
      </c>
      <c r="C56" s="3">
        <f t="shared" si="9"/>
        <v>0</v>
      </c>
      <c r="D56" s="3">
        <v>-37.299999999999997</v>
      </c>
      <c r="E56" s="3">
        <v>-76</v>
      </c>
      <c r="F56" s="11">
        <f t="shared" si="10"/>
        <v>38.700000000000003</v>
      </c>
      <c r="G56" s="11">
        <f t="shared" si="11"/>
        <v>-3.1905999132796223</v>
      </c>
      <c r="H56" s="12">
        <f t="shared" si="12"/>
        <v>0.69258009296223089</v>
      </c>
      <c r="I56" s="3">
        <v>-27</v>
      </c>
      <c r="J56" s="3">
        <v>-76</v>
      </c>
      <c r="K56" s="11">
        <f t="shared" si="13"/>
        <v>49</v>
      </c>
      <c r="L56" s="11">
        <f t="shared" si="14"/>
        <v>7.1094000867203748</v>
      </c>
      <c r="M56" s="12">
        <f t="shared" si="15"/>
        <v>2.2670964888950698</v>
      </c>
      <c r="N56" s="3"/>
      <c r="O56" s="11" t="e">
        <f t="shared" si="16"/>
        <v>#N/A</v>
      </c>
      <c r="P56" s="3"/>
      <c r="Q56" s="11" t="e">
        <f t="shared" si="17"/>
        <v>#N/A</v>
      </c>
      <c r="R56" s="3"/>
      <c r="S56" s="3"/>
      <c r="T56" s="13"/>
    </row>
    <row r="57" spans="1:20" x14ac:dyDescent="0.3">
      <c r="A57" s="9">
        <v>48</v>
      </c>
      <c r="B57" s="14">
        <v>71</v>
      </c>
      <c r="C57" s="3">
        <f t="shared" si="9"/>
        <v>0</v>
      </c>
      <c r="D57" s="3">
        <v>-36.6</v>
      </c>
      <c r="E57" s="3">
        <v>-76</v>
      </c>
      <c r="F57" s="11">
        <f t="shared" si="10"/>
        <v>39.4</v>
      </c>
      <c r="G57" s="11">
        <f t="shared" si="11"/>
        <v>-2.4905999132796266</v>
      </c>
      <c r="H57" s="12">
        <f t="shared" si="12"/>
        <v>0.75070620287706891</v>
      </c>
      <c r="I57" s="3">
        <v>-34.5</v>
      </c>
      <c r="J57" s="3">
        <v>-76</v>
      </c>
      <c r="K57" s="11">
        <f t="shared" si="13"/>
        <v>41.5</v>
      </c>
      <c r="L57" s="11">
        <f t="shared" si="14"/>
        <v>-0.39059991327962507</v>
      </c>
      <c r="M57" s="12">
        <f t="shared" si="15"/>
        <v>0.95602666230226663</v>
      </c>
      <c r="N57" s="3"/>
      <c r="O57" s="11" t="e">
        <f t="shared" si="16"/>
        <v>#N/A</v>
      </c>
      <c r="P57" s="3"/>
      <c r="Q57" s="11" t="e">
        <f t="shared" si="17"/>
        <v>#N/A</v>
      </c>
      <c r="R57" s="3"/>
      <c r="S57" s="3"/>
      <c r="T57" s="13"/>
    </row>
    <row r="58" spans="1:20" x14ac:dyDescent="0.3">
      <c r="A58" s="9">
        <v>49</v>
      </c>
      <c r="B58" s="14">
        <v>80</v>
      </c>
      <c r="C58" s="3">
        <f t="shared" si="9"/>
        <v>0</v>
      </c>
      <c r="D58" s="3">
        <v>-36.6</v>
      </c>
      <c r="E58" s="3">
        <v>-70</v>
      </c>
      <c r="F58" s="11">
        <f t="shared" si="10"/>
        <v>33.4</v>
      </c>
      <c r="G58" s="11">
        <f t="shared" si="11"/>
        <v>-2.4905999132796266</v>
      </c>
      <c r="H58" s="12">
        <f t="shared" si="12"/>
        <v>0.75070620287706891</v>
      </c>
      <c r="I58" s="3">
        <v>-37.4</v>
      </c>
      <c r="J58" s="3">
        <v>-76</v>
      </c>
      <c r="K58" s="11">
        <f t="shared" si="13"/>
        <v>38.6</v>
      </c>
      <c r="L58" s="11">
        <f t="shared" si="14"/>
        <v>-3.2905999132796238</v>
      </c>
      <c r="M58" s="12">
        <f t="shared" si="15"/>
        <v>0.68465219419560375</v>
      </c>
      <c r="N58" s="3"/>
      <c r="O58" s="11" t="e">
        <f t="shared" si="16"/>
        <v>#N/A</v>
      </c>
      <c r="P58" s="3"/>
      <c r="Q58" s="11" t="e">
        <f t="shared" si="17"/>
        <v>#N/A</v>
      </c>
      <c r="R58" s="3"/>
      <c r="S58" s="3"/>
      <c r="T58" s="13"/>
    </row>
    <row r="59" spans="1:20" x14ac:dyDescent="0.3">
      <c r="A59" s="9">
        <v>50</v>
      </c>
      <c r="B59" s="14">
        <v>90</v>
      </c>
      <c r="C59" s="3">
        <f t="shared" si="9"/>
        <v>0</v>
      </c>
      <c r="D59" s="3">
        <v>-36.6</v>
      </c>
      <c r="E59" s="3">
        <v>-70</v>
      </c>
      <c r="F59" s="11">
        <f t="shared" si="10"/>
        <v>33.4</v>
      </c>
      <c r="G59" s="11">
        <f t="shared" si="11"/>
        <v>-2.4905999132796266</v>
      </c>
      <c r="H59" s="12">
        <f t="shared" si="12"/>
        <v>0.75070620287706891</v>
      </c>
      <c r="I59" s="3">
        <v>-40</v>
      </c>
      <c r="J59" s="3">
        <v>-70</v>
      </c>
      <c r="K59" s="11">
        <f t="shared" si="13"/>
        <v>30</v>
      </c>
      <c r="L59" s="11">
        <f t="shared" si="14"/>
        <v>-5.8905999132796252</v>
      </c>
      <c r="M59" s="12">
        <f t="shared" si="15"/>
        <v>0.50753968328634558</v>
      </c>
      <c r="N59" s="3"/>
      <c r="O59" s="11" t="e">
        <f t="shared" si="16"/>
        <v>#N/A</v>
      </c>
      <c r="P59" s="3"/>
      <c r="Q59" s="11" t="e">
        <f t="shared" si="17"/>
        <v>#N/A</v>
      </c>
      <c r="R59" s="3"/>
      <c r="S59" s="3"/>
      <c r="T59" s="13"/>
    </row>
    <row r="60" spans="1:20" x14ac:dyDescent="0.3">
      <c r="A60" s="9">
        <v>51</v>
      </c>
      <c r="B60" s="14">
        <v>100</v>
      </c>
      <c r="C60" s="3">
        <f t="shared" si="9"/>
        <v>0</v>
      </c>
      <c r="D60" s="3">
        <v>-38.200000000000003</v>
      </c>
      <c r="E60" s="3">
        <v>-65</v>
      </c>
      <c r="F60" s="11">
        <f t="shared" si="10"/>
        <v>26.799999999999997</v>
      </c>
      <c r="G60" s="11">
        <f t="shared" si="11"/>
        <v>-4.090599913279628</v>
      </c>
      <c r="H60" s="12">
        <f t="shared" si="12"/>
        <v>0.62441022229519749</v>
      </c>
      <c r="I60" s="3">
        <v>-39.5</v>
      </c>
      <c r="J60" s="3">
        <v>-68</v>
      </c>
      <c r="K60" s="11">
        <f t="shared" si="13"/>
        <v>28.5</v>
      </c>
      <c r="L60" s="11">
        <f t="shared" si="14"/>
        <v>-5.3905999132796252</v>
      </c>
      <c r="M60" s="12">
        <f t="shared" si="15"/>
        <v>0.53761330019636289</v>
      </c>
      <c r="N60" s="3"/>
      <c r="O60" s="11" t="e">
        <f t="shared" si="16"/>
        <v>#N/A</v>
      </c>
      <c r="P60" s="3"/>
      <c r="Q60" s="11" t="e">
        <f t="shared" si="17"/>
        <v>#N/A</v>
      </c>
      <c r="R60" s="3"/>
      <c r="S60" s="3"/>
      <c r="T60" s="13"/>
    </row>
    <row r="61" spans="1:20" x14ac:dyDescent="0.3">
      <c r="A61" s="9">
        <v>52</v>
      </c>
      <c r="B61" s="14">
        <v>112</v>
      </c>
      <c r="C61" s="3">
        <f t="shared" si="9"/>
        <v>0</v>
      </c>
      <c r="D61" s="3">
        <v>-37.299999999999997</v>
      </c>
      <c r="E61" s="3">
        <v>-76</v>
      </c>
      <c r="F61" s="11">
        <f t="shared" si="10"/>
        <v>38.700000000000003</v>
      </c>
      <c r="G61" s="11">
        <f t="shared" si="11"/>
        <v>-3.1905999132796223</v>
      </c>
      <c r="H61" s="12">
        <f t="shared" si="12"/>
        <v>0.69258009296223089</v>
      </c>
      <c r="I61" s="3">
        <v>-38.4</v>
      </c>
      <c r="J61" s="3">
        <v>-76</v>
      </c>
      <c r="K61" s="11">
        <f t="shared" si="13"/>
        <v>37.6</v>
      </c>
      <c r="L61" s="11">
        <f t="shared" si="14"/>
        <v>-4.2905999132796238</v>
      </c>
      <c r="M61" s="12">
        <f t="shared" si="15"/>
        <v>0.61019691037215917</v>
      </c>
      <c r="N61" s="3"/>
      <c r="O61" s="11" t="e">
        <f t="shared" si="16"/>
        <v>#N/A</v>
      </c>
      <c r="P61" s="3"/>
      <c r="Q61" s="11" t="e">
        <f t="shared" si="17"/>
        <v>#N/A</v>
      </c>
      <c r="R61" s="3"/>
      <c r="S61" s="3"/>
      <c r="T61" s="13"/>
    </row>
    <row r="62" spans="1:20" x14ac:dyDescent="0.3">
      <c r="A62" s="9">
        <v>53</v>
      </c>
      <c r="B62" s="14">
        <v>125</v>
      </c>
      <c r="C62" s="3">
        <f t="shared" si="9"/>
        <v>0</v>
      </c>
      <c r="D62" s="3">
        <v>-48</v>
      </c>
      <c r="E62" s="3">
        <v>-76</v>
      </c>
      <c r="F62" s="11">
        <f t="shared" si="10"/>
        <v>28</v>
      </c>
      <c r="G62" s="11">
        <f t="shared" si="11"/>
        <v>-13.890599913279624</v>
      </c>
      <c r="H62" s="12">
        <f t="shared" si="12"/>
        <v>0.20205518725674515</v>
      </c>
      <c r="I62" s="3">
        <v>-37</v>
      </c>
      <c r="J62" s="3">
        <v>-76</v>
      </c>
      <c r="K62" s="11">
        <f t="shared" si="13"/>
        <v>39</v>
      </c>
      <c r="L62" s="11">
        <f t="shared" si="14"/>
        <v>-2.8905999132796252</v>
      </c>
      <c r="M62" s="12">
        <f t="shared" si="15"/>
        <v>0.71691885802790489</v>
      </c>
      <c r="N62" s="3"/>
      <c r="O62" s="11" t="e">
        <f t="shared" si="16"/>
        <v>#N/A</v>
      </c>
      <c r="P62" s="3"/>
      <c r="Q62" s="11" t="e">
        <f t="shared" si="17"/>
        <v>#N/A</v>
      </c>
      <c r="R62" s="3"/>
      <c r="S62" s="3"/>
      <c r="T62" s="13"/>
    </row>
    <row r="63" spans="1:20" x14ac:dyDescent="0.3">
      <c r="A63" s="9">
        <v>54</v>
      </c>
      <c r="B63" s="14">
        <v>140</v>
      </c>
      <c r="C63" s="3">
        <f t="shared" si="9"/>
        <v>0</v>
      </c>
      <c r="D63" s="3">
        <v>-35.5</v>
      </c>
      <c r="E63" s="3">
        <v>-76</v>
      </c>
      <c r="F63" s="11">
        <f t="shared" si="10"/>
        <v>40.5</v>
      </c>
      <c r="G63" s="11">
        <f t="shared" si="11"/>
        <v>-1.3905999132796252</v>
      </c>
      <c r="H63" s="12">
        <f t="shared" si="12"/>
        <v>0.85205965965776853</v>
      </c>
      <c r="I63" s="3">
        <v>-42.8</v>
      </c>
      <c r="J63" s="3">
        <v>-76</v>
      </c>
      <c r="K63" s="11">
        <f t="shared" si="13"/>
        <v>33.200000000000003</v>
      </c>
      <c r="L63" s="11">
        <f t="shared" si="14"/>
        <v>-8.6905999132796214</v>
      </c>
      <c r="M63" s="12">
        <f t="shared" si="15"/>
        <v>0.36767999773770021</v>
      </c>
      <c r="N63" s="3"/>
      <c r="O63" s="11" t="e">
        <f t="shared" si="16"/>
        <v>#N/A</v>
      </c>
      <c r="P63" s="3"/>
      <c r="Q63" s="11" t="e">
        <f t="shared" si="17"/>
        <v>#N/A</v>
      </c>
      <c r="R63" s="3"/>
      <c r="S63" s="3"/>
      <c r="T63" s="13"/>
    </row>
    <row r="64" spans="1:20" x14ac:dyDescent="0.3">
      <c r="A64" s="9">
        <v>55</v>
      </c>
      <c r="B64" s="14">
        <v>150</v>
      </c>
      <c r="C64" s="3">
        <f t="shared" si="9"/>
        <v>0</v>
      </c>
      <c r="D64" s="3">
        <v>-37.200000000000003</v>
      </c>
      <c r="E64" s="3">
        <v>-76</v>
      </c>
      <c r="F64" s="11">
        <f t="shared" si="10"/>
        <v>38.799999999999997</v>
      </c>
      <c r="G64" s="11">
        <f t="shared" si="11"/>
        <v>-3.090599913279628</v>
      </c>
      <c r="H64" s="12">
        <f t="shared" si="12"/>
        <v>0.70059979247000292</v>
      </c>
      <c r="I64" s="3">
        <v>-38.700000000000003</v>
      </c>
      <c r="J64" s="3">
        <v>-76</v>
      </c>
      <c r="K64" s="11">
        <f t="shared" si="13"/>
        <v>37.299999999999997</v>
      </c>
      <c r="L64" s="11">
        <f t="shared" si="14"/>
        <v>-4.590599913279628</v>
      </c>
      <c r="M64" s="12">
        <f t="shared" si="15"/>
        <v>0.58948126162189241</v>
      </c>
      <c r="N64" s="3"/>
      <c r="O64" s="11" t="e">
        <f t="shared" si="16"/>
        <v>#N/A</v>
      </c>
      <c r="P64" s="3"/>
      <c r="Q64" s="11" t="e">
        <f t="shared" si="17"/>
        <v>#N/A</v>
      </c>
      <c r="R64" s="3"/>
      <c r="S64" s="3"/>
      <c r="T64" s="13"/>
    </row>
    <row r="67" spans="1:1" x14ac:dyDescent="0.3">
      <c r="A67" s="2" t="s">
        <v>30</v>
      </c>
    </row>
    <row r="68" spans="1:1" x14ac:dyDescent="0.3">
      <c r="A68" s="15" t="s">
        <v>31</v>
      </c>
    </row>
    <row r="69" spans="1:1" x14ac:dyDescent="0.3">
      <c r="A69" s="15" t="s">
        <v>32</v>
      </c>
    </row>
    <row r="70" spans="1:1" x14ac:dyDescent="0.3">
      <c r="A70" s="15" t="s">
        <v>33</v>
      </c>
    </row>
    <row r="71" spans="1:1" x14ac:dyDescent="0.3">
      <c r="A71" s="15" t="s">
        <v>34</v>
      </c>
    </row>
    <row r="72" spans="1:1" x14ac:dyDescent="0.3">
      <c r="A72" s="15" t="s">
        <v>35</v>
      </c>
    </row>
    <row r="73" spans="1:1" x14ac:dyDescent="0.3">
      <c r="A73" s="15" t="s">
        <v>36</v>
      </c>
    </row>
    <row r="74" spans="1:1" x14ac:dyDescent="0.3">
      <c r="A74" s="15" t="s">
        <v>37</v>
      </c>
    </row>
    <row r="75" spans="1:1" x14ac:dyDescent="0.3">
      <c r="A75" s="15" t="s">
        <v>38</v>
      </c>
    </row>
    <row r="76" spans="1:1" x14ac:dyDescent="0.3">
      <c r="A76" s="15" t="s">
        <v>39</v>
      </c>
    </row>
    <row r="77" spans="1:1" x14ac:dyDescent="0.3">
      <c r="A77" s="15" t="s">
        <v>40</v>
      </c>
    </row>
    <row r="78" spans="1:1" x14ac:dyDescent="0.3">
      <c r="A78" s="15" t="s">
        <v>41</v>
      </c>
    </row>
    <row r="79" spans="1:1" x14ac:dyDescent="0.3">
      <c r="A79" s="15" t="s">
        <v>42</v>
      </c>
    </row>
  </sheetData>
  <mergeCells count="9">
    <mergeCell ref="A4:F4"/>
    <mergeCell ref="A3:F3"/>
    <mergeCell ref="I8:M8"/>
    <mergeCell ref="R8:S8"/>
    <mergeCell ref="D8:H8"/>
    <mergeCell ref="N8:Q8"/>
    <mergeCell ref="A5:F5"/>
    <mergeCell ref="A8:C8"/>
    <mergeCell ref="A6:F6"/>
  </mergeCells>
  <conditionalFormatting sqref="F10:F64">
    <cfRule type="expression" dxfId="5" priority="1">
      <formula>AND(ISNUMBER(F10),F10&lt;$G$6)</formula>
    </cfRule>
  </conditionalFormatting>
  <conditionalFormatting sqref="G10:H64">
    <cfRule type="expression" dxfId="4" priority="3">
      <formula>ISNA(G10)</formula>
    </cfRule>
  </conditionalFormatting>
  <conditionalFormatting sqref="K10:K64">
    <cfRule type="expression" dxfId="3" priority="2">
      <formula>AND(ISNUMBER(K10),K10&lt;$G$6)</formula>
    </cfRule>
  </conditionalFormatting>
  <conditionalFormatting sqref="L10:M64">
    <cfRule type="expression" dxfId="2" priority="5">
      <formula>ISNA(L10)</formula>
    </cfRule>
  </conditionalFormatting>
  <conditionalFormatting sqref="O10:O64">
    <cfRule type="expression" dxfId="1" priority="7">
      <formula>ISNA(O10)</formula>
    </cfRule>
  </conditionalFormatting>
  <conditionalFormatting sqref="Q10:Q64">
    <cfRule type="expression" dxfId="0" priority="8">
      <formula>ISNA(Q10)</formula>
    </cfRule>
  </conditionalFormatting>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topLeftCell="A29" workbookViewId="0">
      <selection activeCell="B40" sqref="B40"/>
    </sheetView>
  </sheetViews>
  <sheetFormatPr defaultRowHeight="14.4" x14ac:dyDescent="0.3"/>
  <cols>
    <col min="1" max="1" width="36" customWidth="1"/>
    <col min="2" max="2" width="60" customWidth="1"/>
    <col min="3" max="3" width="48" customWidth="1"/>
  </cols>
  <sheetData>
    <row r="1" spans="1:3" ht="17.399999999999999" x14ac:dyDescent="0.3">
      <c r="A1" s="1" t="s">
        <v>43</v>
      </c>
    </row>
    <row r="3" spans="1:3" x14ac:dyDescent="0.3">
      <c r="A3" s="16" t="s">
        <v>44</v>
      </c>
      <c r="B3" s="16" t="s">
        <v>45</v>
      </c>
      <c r="C3" s="16" t="s">
        <v>46</v>
      </c>
    </row>
    <row r="4" spans="1:3" x14ac:dyDescent="0.3">
      <c r="A4" s="2" t="s">
        <v>47</v>
      </c>
    </row>
    <row r="5" spans="1:3" x14ac:dyDescent="0.3">
      <c r="A5" s="17" t="s">
        <v>48</v>
      </c>
      <c r="B5" s="18">
        <v>46315</v>
      </c>
      <c r="C5" s="19"/>
    </row>
    <row r="6" spans="1:3" x14ac:dyDescent="0.3">
      <c r="A6" s="17" t="s">
        <v>49</v>
      </c>
      <c r="B6" s="20" t="s">
        <v>50</v>
      </c>
      <c r="C6" s="19"/>
    </row>
    <row r="7" spans="1:3" x14ac:dyDescent="0.3">
      <c r="A7" s="17" t="s">
        <v>51</v>
      </c>
      <c r="B7" s="20" t="s">
        <v>52</v>
      </c>
      <c r="C7" s="19"/>
    </row>
    <row r="8" spans="1:3" x14ac:dyDescent="0.3">
      <c r="A8" s="17" t="s">
        <v>53</v>
      </c>
      <c r="B8" s="20">
        <v>20</v>
      </c>
      <c r="C8" s="19"/>
    </row>
    <row r="9" spans="1:3" x14ac:dyDescent="0.3">
      <c r="A9" s="2" t="s">
        <v>6</v>
      </c>
    </row>
    <row r="10" spans="1:3" x14ac:dyDescent="0.3">
      <c r="A10" s="17" t="s">
        <v>54</v>
      </c>
      <c r="B10" s="20" t="s">
        <v>89</v>
      </c>
      <c r="C10" s="19"/>
    </row>
    <row r="11" spans="1:3" x14ac:dyDescent="0.3">
      <c r="A11" s="17" t="s">
        <v>55</v>
      </c>
      <c r="B11" s="20" t="s">
        <v>88</v>
      </c>
      <c r="C11" s="19"/>
    </row>
    <row r="12" spans="1:3" x14ac:dyDescent="0.3">
      <c r="A12" s="2" t="s">
        <v>7</v>
      </c>
    </row>
    <row r="13" spans="1:3" x14ac:dyDescent="0.3">
      <c r="A13" s="17" t="s">
        <v>54</v>
      </c>
      <c r="B13" s="20" t="s">
        <v>90</v>
      </c>
      <c r="C13" s="19"/>
    </row>
    <row r="14" spans="1:3" x14ac:dyDescent="0.3">
      <c r="A14" s="17" t="s">
        <v>55</v>
      </c>
      <c r="B14" s="20" t="s">
        <v>88</v>
      </c>
      <c r="C14" s="19" t="s">
        <v>56</v>
      </c>
    </row>
    <row r="15" spans="1:3" x14ac:dyDescent="0.3">
      <c r="A15" s="2" t="s">
        <v>57</v>
      </c>
    </row>
    <row r="16" spans="1:3" x14ac:dyDescent="0.3">
      <c r="A16" s="17" t="s">
        <v>54</v>
      </c>
      <c r="B16" s="20" t="s">
        <v>58</v>
      </c>
      <c r="C16" s="19"/>
    </row>
    <row r="17" spans="1:3" x14ac:dyDescent="0.3">
      <c r="A17" s="17" t="s">
        <v>59</v>
      </c>
      <c r="B17" s="21">
        <f>Medición!G3</f>
        <v>0</v>
      </c>
      <c r="C17" s="19" t="s">
        <v>60</v>
      </c>
    </row>
    <row r="18" spans="1:3" x14ac:dyDescent="0.3">
      <c r="A18" s="2" t="s">
        <v>62</v>
      </c>
    </row>
    <row r="19" spans="1:3" x14ac:dyDescent="0.3">
      <c r="A19" s="17" t="s">
        <v>54</v>
      </c>
      <c r="B19" s="20" t="s">
        <v>63</v>
      </c>
      <c r="C19" s="19"/>
    </row>
    <row r="20" spans="1:3" x14ac:dyDescent="0.3">
      <c r="A20" s="17" t="s">
        <v>92</v>
      </c>
      <c r="B20" s="20" t="s">
        <v>93</v>
      </c>
      <c r="C20" s="19" t="s">
        <v>64</v>
      </c>
    </row>
    <row r="21" spans="1:3" x14ac:dyDescent="0.3">
      <c r="A21" s="17" t="s">
        <v>91</v>
      </c>
      <c r="B21" s="20" t="s">
        <v>94</v>
      </c>
      <c r="C21" s="19" t="s">
        <v>64</v>
      </c>
    </row>
    <row r="22" spans="1:3" x14ac:dyDescent="0.3">
      <c r="A22" s="17" t="s">
        <v>95</v>
      </c>
      <c r="B22" s="20" t="s">
        <v>93</v>
      </c>
      <c r="C22" s="19" t="s">
        <v>64</v>
      </c>
    </row>
    <row r="23" spans="1:3" x14ac:dyDescent="0.3">
      <c r="A23" s="17" t="s">
        <v>96</v>
      </c>
      <c r="B23" s="20" t="s">
        <v>94</v>
      </c>
      <c r="C23" s="19" t="s">
        <v>64</v>
      </c>
    </row>
    <row r="24" spans="1:3" x14ac:dyDescent="0.3">
      <c r="A24" s="17" t="s">
        <v>97</v>
      </c>
      <c r="B24" s="20" t="s">
        <v>98</v>
      </c>
      <c r="C24" s="19"/>
    </row>
    <row r="25" spans="1:3" x14ac:dyDescent="0.3">
      <c r="A25" s="22" t="s">
        <v>100</v>
      </c>
      <c r="B25" s="20" t="s">
        <v>99</v>
      </c>
      <c r="C25" s="19" t="s">
        <v>65</v>
      </c>
    </row>
    <row r="26" spans="1:3" x14ac:dyDescent="0.3">
      <c r="A26" s="17" t="s">
        <v>66</v>
      </c>
      <c r="B26" s="20" t="s">
        <v>102</v>
      </c>
      <c r="C26" s="19" t="s">
        <v>67</v>
      </c>
    </row>
    <row r="27" spans="1:3" x14ac:dyDescent="0.3">
      <c r="A27" s="17" t="s">
        <v>68</v>
      </c>
      <c r="B27" s="20" t="s">
        <v>101</v>
      </c>
      <c r="C27" s="19" t="s">
        <v>69</v>
      </c>
    </row>
    <row r="28" spans="1:3" x14ac:dyDescent="0.3">
      <c r="A28" s="17" t="s">
        <v>70</v>
      </c>
      <c r="B28" s="20" t="s">
        <v>61</v>
      </c>
      <c r="C28" s="19" t="s">
        <v>71</v>
      </c>
    </row>
    <row r="29" spans="1:3" x14ac:dyDescent="0.3">
      <c r="A29" s="17" t="s">
        <v>72</v>
      </c>
      <c r="B29" s="20"/>
      <c r="C29" s="19" t="s">
        <v>73</v>
      </c>
    </row>
    <row r="30" spans="1:3" x14ac:dyDescent="0.3">
      <c r="A30" s="17" t="s">
        <v>74</v>
      </c>
      <c r="B30" s="20"/>
      <c r="C30" s="19" t="s">
        <v>75</v>
      </c>
    </row>
    <row r="31" spans="1:3" x14ac:dyDescent="0.3">
      <c r="A31" s="2" t="s">
        <v>76</v>
      </c>
    </row>
    <row r="32" spans="1:3" ht="42" customHeight="1" x14ac:dyDescent="0.3">
      <c r="A32" s="17" t="s">
        <v>77</v>
      </c>
      <c r="B32" s="20" t="s">
        <v>78</v>
      </c>
      <c r="C32" s="19"/>
    </row>
    <row r="33" spans="1:3" x14ac:dyDescent="0.3">
      <c r="A33" s="17" t="s">
        <v>79</v>
      </c>
      <c r="B33" s="20" t="s">
        <v>103</v>
      </c>
      <c r="C33" s="19" t="s">
        <v>80</v>
      </c>
    </row>
    <row r="34" spans="1:3" x14ac:dyDescent="0.3">
      <c r="A34" s="17" t="s">
        <v>81</v>
      </c>
      <c r="B34" s="20" t="s">
        <v>104</v>
      </c>
      <c r="C34" s="19" t="s">
        <v>82</v>
      </c>
    </row>
    <row r="35" spans="1:3" x14ac:dyDescent="0.3">
      <c r="A35" s="17" t="s">
        <v>83</v>
      </c>
      <c r="B35" s="20"/>
      <c r="C35" s="19"/>
    </row>
    <row r="36" spans="1:3" x14ac:dyDescent="0.3">
      <c r="A36" s="17" t="s">
        <v>84</v>
      </c>
      <c r="B36" s="20"/>
      <c r="C36" s="19"/>
    </row>
    <row r="37" spans="1:3" x14ac:dyDescent="0.3">
      <c r="A37" s="17" t="s">
        <v>85</v>
      </c>
      <c r="B37" s="20" t="s">
        <v>105</v>
      </c>
      <c r="C37" s="19"/>
    </row>
    <row r="38" spans="1:3" x14ac:dyDescent="0.3">
      <c r="A38" s="17" t="s">
        <v>2</v>
      </c>
      <c r="B38" s="23">
        <f>Medición!G4</f>
        <v>0.13</v>
      </c>
      <c r="C38" s="19" t="s">
        <v>86</v>
      </c>
    </row>
    <row r="39" spans="1:3" x14ac:dyDescent="0.3">
      <c r="A39" s="2" t="s">
        <v>29</v>
      </c>
    </row>
    <row r="40" spans="1:3" ht="66" x14ac:dyDescent="0.3">
      <c r="A40" s="17" t="s">
        <v>87</v>
      </c>
      <c r="B40" s="20" t="s">
        <v>106</v>
      </c>
      <c r="C40" s="1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topLeftCell="A3" zoomScale="124" workbookViewId="0">
      <selection activeCell="AG16" sqref="AG16"/>
    </sheetView>
  </sheetViews>
  <sheetFormatPr defaultRowHeight="14.4" x14ac:dyDescent="0.3"/>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Medición</vt:lpstr>
      <vt:lpstr>Datos del ensayo</vt:lpstr>
      <vt:lpstr>Gráfico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Ledesma</cp:lastModifiedBy>
  <dcterms:created xsi:type="dcterms:W3CDTF">2026-10-27T19:54:05Z</dcterms:created>
  <dcterms:modified xsi:type="dcterms:W3CDTF">2026-10-30T05:40:20Z</dcterms:modified>
</cp:coreProperties>
</file>