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Busqued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000"/>
    <numFmt numFmtId="167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7F6000"/>
      <sz val="9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165" fontId="2" fillId="7" borderId="1" applyAlignment="1" pivotButton="0" quotePrefix="0" xfId="0">
      <alignment horizontal="center" vertical="center" wrapText="1"/>
    </xf>
    <xf numFmtId="166" fontId="2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2" borderId="0" pivotButton="0" quotePrefix="0" xfId="0"/>
    <xf numFmtId="2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10" customWidth="1" min="4" max="4"/>
    <col width="8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14" customWidth="1" min="11" max="11"/>
    <col width="12" customWidth="1" min="12" max="12"/>
    <col width="12" customWidth="1" min="13" max="13"/>
    <col width="12" customWidth="1" min="14" max="14"/>
    <col width="9" customWidth="1" min="15" max="15"/>
    <col width="7" customWidth="1" min="16" max="16"/>
    <col width="12" customWidth="1" min="17" max="17"/>
    <col width="12" customWidth="1" min="18" max="18"/>
    <col width="13" customWidth="1" min="19" max="19"/>
    <col width="11" customWidth="1" min="20" max="20"/>
    <col width="9" customWidth="1" min="21" max="21"/>
    <col width="60" customWidth="1" min="22" max="22"/>
    <col width="34" customWidth="1" min="23" max="23"/>
  </cols>
  <sheetData>
    <row r="1" ht="42" customHeight="1">
      <c r="A1" s="1" t="inlineStr">
        <is>
          <t>Orden</t>
        </is>
      </c>
      <c r="B1" s="1" t="inlineStr">
        <is>
          <t>Parte</t>
        </is>
      </c>
      <c r="C1" s="1" t="inlineStr">
        <is>
          <t>Paso</t>
        </is>
      </c>
      <c r="D1" s="1" t="inlineStr">
        <is>
          <t>Portadora
(MHz)</t>
        </is>
      </c>
      <c r="E1" s="1" t="inlineStr">
        <is>
          <t>Tono
(kHz)</t>
        </is>
      </c>
      <c r="F1" s="1" t="inlineStr">
        <is>
          <t>Tasa
(MSPS)</t>
        </is>
      </c>
      <c r="G1" s="1" t="inlineStr">
        <is>
          <t>Tono
principal</t>
        </is>
      </c>
      <c r="H1" s="1" t="inlineStr">
        <is>
          <t>Corr.
imagen</t>
        </is>
      </c>
      <c r="I1" s="1" t="inlineStr">
        <is>
          <t>Corr. e
(fuga)</t>
        </is>
      </c>
      <c r="J1" s="1" t="inlineStr">
        <is>
          <t>Corr. d
(tono)</t>
        </is>
      </c>
      <c r="K1" s="1" t="inlineStr">
        <is>
          <t>Linea a medir</t>
        </is>
      </c>
      <c r="L1" s="1" t="inlineStr">
        <is>
          <t>f esperada
(MHz)</t>
        </is>
      </c>
      <c r="M1" s="1" t="inlineStr">
        <is>
          <t>SA START
(MHz)</t>
        </is>
      </c>
      <c r="N1" s="1" t="inlineStr">
        <is>
          <t>SA STOP
(MHz)</t>
        </is>
      </c>
      <c r="O1" s="1" t="inlineStr">
        <is>
          <t>Ventana
(kHz)</t>
        </is>
      </c>
      <c r="P1" s="1" t="inlineStr">
        <is>
          <t>RBW
(kHz)</t>
        </is>
      </c>
      <c r="Q1" s="1" t="inlineStr">
        <is>
          <t>Nivel de la
correccion (dB)</t>
        </is>
      </c>
      <c r="R1" s="1" t="inlineStr">
        <is>
          <t>Fase de la
correccion (grados)</t>
        </is>
      </c>
      <c r="S1" s="1" t="inlineStr">
        <is>
          <t>f medida
(MHz)</t>
        </is>
      </c>
      <c r="T1" s="1" t="inlineStr">
        <is>
          <t>Nivel medido
(dBm)</t>
        </is>
      </c>
      <c r="U1" s="1" t="inlineStr">
        <is>
          <t>Capturar
a SD</t>
        </is>
      </c>
      <c r="V1" s="1" t="inlineStr">
        <is>
          <t>Que hacer antes de medir esta fila</t>
        </is>
      </c>
      <c r="W1" s="1" t="inlineStr">
        <is>
          <t>Notas</t>
        </is>
      </c>
    </row>
    <row r="2" ht="75" customHeight="1">
      <c r="A2" s="2" t="n">
        <v>1</v>
      </c>
      <c r="B2" s="3" t="inlineStr">
        <is>
          <t>A</t>
        </is>
      </c>
      <c r="C2" s="4" t="inlineStr">
        <is>
          <t>Vista ancha</t>
        </is>
      </c>
      <c r="D2" s="5" t="n">
        <v>400</v>
      </c>
      <c r="E2" s="5" t="n">
        <v>200</v>
      </c>
      <c r="F2" s="5" t="n">
        <v>2</v>
      </c>
      <c r="G2" s="2" t="inlineStr">
        <is>
          <t>Enc</t>
        </is>
      </c>
      <c r="H2" s="2" t="inlineStr">
        <is>
          <t>Apag</t>
        </is>
      </c>
      <c r="I2" s="2" t="inlineStr">
        <is>
          <t>Apag</t>
        </is>
      </c>
      <c r="J2" s="2" t="inlineStr">
        <is>
          <t>Apag</t>
        </is>
      </c>
      <c r="K2" s="2" t="inlineStr">
        <is>
          <t>Vista ancha</t>
        </is>
      </c>
      <c r="L2" s="6">
        <f>IF($K2="Vista ancha",$D2+0.1,$D2+IF($K2="Fuga",0,IF($K2="Tono",$E2,IF($K2="Imagen",-$E2,IF($K2="Replica fuga",Parametros!$B$2,IF($K2="Replica tono",$E2+Parametros!$B$2,IF($K2="Gemela fuga",-Parametros!$B$2,IF($K2="Gemela tono",$E2-Parametros!$B$2,0)))))))/1000)</f>
        <v/>
      </c>
      <c r="M2" s="6">
        <f>L2-O2/2000</f>
        <v/>
      </c>
      <c r="N2" s="6">
        <f>L2+O2/2000</f>
        <v/>
      </c>
      <c r="O2" s="5" t="n">
        <v>2600</v>
      </c>
      <c r="P2" s="5" t="n">
        <v>3</v>
      </c>
      <c r="Q2" s="7" t="n"/>
      <c r="R2" s="7" t="n"/>
      <c r="S2" s="7" t="n"/>
      <c r="T2" s="8" t="n"/>
      <c r="U2" s="9" t="inlineStr">
        <is>
          <t>SI</t>
        </is>
      </c>
      <c r="V2" s="10" t="inlineStr">
        <is>
          <t>Montaje del EXP-08: cable directo, atenuacion 0 dB. En el flujo: 400 MHz, 200 kHz, ganancia 30, amplitud 0,5, 2 MSPS, tono encendido y todas las correcciones apagadas. Transmitir 5 minutos antes de medir. Promediado 16. En Notas, anotar toda linea que se vea por encima de -100 dBm con su frecuencia.</t>
        </is>
      </c>
      <c r="W2" s="11" t="n"/>
    </row>
    <row r="3" ht="30" customHeight="1">
      <c r="A3" s="2" t="n">
        <v>2</v>
      </c>
      <c r="B3" s="3" t="inlineStr">
        <is>
          <t>A</t>
        </is>
      </c>
      <c r="C3" s="4" t="inlineStr">
        <is>
          <t>Referencia</t>
        </is>
      </c>
      <c r="D3" s="5" t="n">
        <v>400</v>
      </c>
      <c r="E3" s="5" t="n">
        <v>200</v>
      </c>
      <c r="F3" s="5" t="n">
        <v>2</v>
      </c>
      <c r="G3" s="2" t="inlineStr">
        <is>
          <t>Enc</t>
        </is>
      </c>
      <c r="H3" s="2" t="inlineStr">
        <is>
          <t>Apag</t>
        </is>
      </c>
      <c r="I3" s="2" t="inlineStr">
        <is>
          <t>Apag</t>
        </is>
      </c>
      <c r="J3" s="2" t="inlineStr">
        <is>
          <t>Apag</t>
        </is>
      </c>
      <c r="K3" s="2" t="inlineStr">
        <is>
          <t>Fuga</t>
        </is>
      </c>
      <c r="L3" s="6">
        <f>IF($K3="Vista ancha",$D3+0.1,$D3+IF($K3="Fuga",0,IF($K3="Tono",$E3,IF($K3="Imagen",-$E3,IF($K3="Replica fuga",Parametros!$B$2,IF($K3="Replica tono",$E3+Parametros!$B$2,IF($K3="Gemela fuga",-Parametros!$B$2,IF($K3="Gemela tono",$E3-Parametros!$B$2,0)))))))/1000)</f>
        <v/>
      </c>
      <c r="M3" s="6">
        <f>L3-O3/2000</f>
        <v/>
      </c>
      <c r="N3" s="6">
        <f>L3+O3/2000</f>
        <v/>
      </c>
      <c r="O3" s="5" t="n">
        <v>20</v>
      </c>
      <c r="P3" s="5" t="n">
        <v>1</v>
      </c>
      <c r="Q3" s="7" t="n"/>
      <c r="R3" s="7" t="n"/>
      <c r="S3" s="7" t="n"/>
      <c r="T3" s="12" t="n"/>
      <c r="U3" s="2" t="inlineStr"/>
      <c r="V3" s="10" t="inlineStr">
        <is>
          <t>Desde aca, ventana y filtro segun las columnas de cada fila. Promediado 16 salvo que se indique otra cosa.</t>
        </is>
      </c>
      <c r="W3" s="11" t="n"/>
    </row>
    <row r="4" ht="30" customHeight="1">
      <c r="A4" s="2" t="n">
        <v>3</v>
      </c>
      <c r="B4" s="3" t="inlineStr">
        <is>
          <t>A</t>
        </is>
      </c>
      <c r="C4" s="4" t="inlineStr">
        <is>
          <t>Referencia</t>
        </is>
      </c>
      <c r="D4" s="5" t="n">
        <v>400</v>
      </c>
      <c r="E4" s="5" t="n">
        <v>200</v>
      </c>
      <c r="F4" s="5" t="n">
        <v>2</v>
      </c>
      <c r="G4" s="2" t="inlineStr">
        <is>
          <t>Enc</t>
        </is>
      </c>
      <c r="H4" s="2" t="inlineStr">
        <is>
          <t>Apag</t>
        </is>
      </c>
      <c r="I4" s="2" t="inlineStr">
        <is>
          <t>Apag</t>
        </is>
      </c>
      <c r="J4" s="2" t="inlineStr">
        <is>
          <t>Apag</t>
        </is>
      </c>
      <c r="K4" s="2" t="inlineStr">
        <is>
          <t>Tono</t>
        </is>
      </c>
      <c r="L4" s="6">
        <f>IF($K4="Vista ancha",$D4+0.1,$D4+IF($K4="Fuga",0,IF($K4="Tono",$E4,IF($K4="Imagen",-$E4,IF($K4="Replica fuga",Parametros!$B$2,IF($K4="Replica tono",$E4+Parametros!$B$2,IF($K4="Gemela fuga",-Parametros!$B$2,IF($K4="Gemela tono",$E4-Parametros!$B$2,0)))))))/1000)</f>
        <v/>
      </c>
      <c r="M4" s="6">
        <f>L4-O4/2000</f>
        <v/>
      </c>
      <c r="N4" s="6">
        <f>L4+O4/2000</f>
        <v/>
      </c>
      <c r="O4" s="5" t="n">
        <v>20</v>
      </c>
      <c r="P4" s="5" t="n">
        <v>1</v>
      </c>
      <c r="Q4" s="7" t="n"/>
      <c r="R4" s="7" t="n"/>
      <c r="S4" s="7" t="n"/>
      <c r="T4" s="12" t="n"/>
      <c r="U4" s="2" t="inlineStr"/>
      <c r="V4" s="4" t="inlineStr"/>
      <c r="W4" s="11" t="n"/>
    </row>
    <row r="5" ht="30" customHeight="1">
      <c r="A5" s="2" t="n">
        <v>4</v>
      </c>
      <c r="B5" s="3" t="inlineStr">
        <is>
          <t>A</t>
        </is>
      </c>
      <c r="C5" s="4" t="inlineStr">
        <is>
          <t>Replicas</t>
        </is>
      </c>
      <c r="D5" s="5" t="n">
        <v>400</v>
      </c>
      <c r="E5" s="5" t="n">
        <v>200</v>
      </c>
      <c r="F5" s="5" t="n">
        <v>2</v>
      </c>
      <c r="G5" s="2" t="inlineStr">
        <is>
          <t>Enc</t>
        </is>
      </c>
      <c r="H5" s="2" t="inlineStr">
        <is>
          <t>Apag</t>
        </is>
      </c>
      <c r="I5" s="2" t="inlineStr">
        <is>
          <t>Apag</t>
        </is>
      </c>
      <c r="J5" s="2" t="inlineStr">
        <is>
          <t>Apag</t>
        </is>
      </c>
      <c r="K5" s="2" t="inlineStr">
        <is>
          <t>Replica fuga</t>
        </is>
      </c>
      <c r="L5" s="6">
        <f>IF($K5="Vista ancha",$D5+0.1,$D5+IF($K5="Fuga",0,IF($K5="Tono",$E5,IF($K5="Imagen",-$E5,IF($K5="Replica fuga",Parametros!$B$2,IF($K5="Replica tono",$E5+Parametros!$B$2,IF($K5="Gemela fuga",-Parametros!$B$2,IF($K5="Gemela tono",$E5-Parametros!$B$2,0)))))))/1000)</f>
        <v/>
      </c>
      <c r="M5" s="6">
        <f>L5-O5/2000</f>
        <v/>
      </c>
      <c r="N5" s="6">
        <f>L5+O5/2000</f>
        <v/>
      </c>
      <c r="O5" s="5" t="n">
        <v>20</v>
      </c>
      <c r="P5" s="5" t="n">
        <v>1</v>
      </c>
      <c r="Q5" s="7" t="n"/>
      <c r="R5" s="7" t="n"/>
      <c r="S5" s="7" t="n"/>
      <c r="T5" s="12" t="n"/>
      <c r="U5" s="2" t="inlineStr"/>
      <c r="V5" s="4" t="inlineStr"/>
      <c r="W5" s="11" t="n"/>
    </row>
    <row r="6" ht="30" customHeight="1">
      <c r="A6" s="2" t="n">
        <v>5</v>
      </c>
      <c r="B6" s="3" t="inlineStr">
        <is>
          <t>A</t>
        </is>
      </c>
      <c r="C6" s="4" t="inlineStr">
        <is>
          <t>Replicas</t>
        </is>
      </c>
      <c r="D6" s="5" t="n">
        <v>400</v>
      </c>
      <c r="E6" s="5" t="n">
        <v>200</v>
      </c>
      <c r="F6" s="5" t="n">
        <v>2</v>
      </c>
      <c r="G6" s="2" t="inlineStr">
        <is>
          <t>Enc</t>
        </is>
      </c>
      <c r="H6" s="2" t="inlineStr">
        <is>
          <t>Apag</t>
        </is>
      </c>
      <c r="I6" s="2" t="inlineStr">
        <is>
          <t>Apag</t>
        </is>
      </c>
      <c r="J6" s="2" t="inlineStr">
        <is>
          <t>Apag</t>
        </is>
      </c>
      <c r="K6" s="2" t="inlineStr">
        <is>
          <t>Replica tono</t>
        </is>
      </c>
      <c r="L6" s="6">
        <f>IF($K6="Vista ancha",$D6+0.1,$D6+IF($K6="Fuga",0,IF($K6="Tono",$E6,IF($K6="Imagen",-$E6,IF($K6="Replica fuga",Parametros!$B$2,IF($K6="Replica tono",$E6+Parametros!$B$2,IF($K6="Gemela fuga",-Parametros!$B$2,IF($K6="Gemela tono",$E6-Parametros!$B$2,0)))))))/1000)</f>
        <v/>
      </c>
      <c r="M6" s="6">
        <f>L6-O6/2000</f>
        <v/>
      </c>
      <c r="N6" s="6">
        <f>L6+O6/2000</f>
        <v/>
      </c>
      <c r="O6" s="5" t="n">
        <v>20</v>
      </c>
      <c r="P6" s="5" t="n">
        <v>1</v>
      </c>
      <c r="Q6" s="7" t="n"/>
      <c r="R6" s="7" t="n"/>
      <c r="S6" s="7" t="n"/>
      <c r="T6" s="12" t="n"/>
      <c r="U6" s="2" t="inlineStr"/>
      <c r="V6" s="4" t="inlineStr"/>
      <c r="W6" s="11" t="n"/>
    </row>
    <row r="7" ht="30" customHeight="1">
      <c r="A7" s="2" t="n">
        <v>6</v>
      </c>
      <c r="B7" s="3" t="inlineStr">
        <is>
          <t>A</t>
        </is>
      </c>
      <c r="C7" s="4" t="inlineStr">
        <is>
          <t>Gemelas</t>
        </is>
      </c>
      <c r="D7" s="5" t="n">
        <v>400</v>
      </c>
      <c r="E7" s="5" t="n">
        <v>200</v>
      </c>
      <c r="F7" s="5" t="n">
        <v>2</v>
      </c>
      <c r="G7" s="2" t="inlineStr">
        <is>
          <t>Enc</t>
        </is>
      </c>
      <c r="H7" s="2" t="inlineStr">
        <is>
          <t>Apag</t>
        </is>
      </c>
      <c r="I7" s="2" t="inlineStr">
        <is>
          <t>Apag</t>
        </is>
      </c>
      <c r="J7" s="2" t="inlineStr">
        <is>
          <t>Apag</t>
        </is>
      </c>
      <c r="K7" s="2" t="inlineStr">
        <is>
          <t>Gemela fuga</t>
        </is>
      </c>
      <c r="L7" s="6">
        <f>IF($K7="Vista ancha",$D7+0.1,$D7+IF($K7="Fuga",0,IF($K7="Tono",$E7,IF($K7="Imagen",-$E7,IF($K7="Replica fuga",Parametros!$B$2,IF($K7="Replica tono",$E7+Parametros!$B$2,IF($K7="Gemela fuga",-Parametros!$B$2,IF($K7="Gemela tono",$E7-Parametros!$B$2,0)))))))/1000)</f>
        <v/>
      </c>
      <c r="M7" s="6">
        <f>L7-O7/2000</f>
        <v/>
      </c>
      <c r="N7" s="6">
        <f>L7+O7/2000</f>
        <v/>
      </c>
      <c r="O7" s="5" t="n">
        <v>20</v>
      </c>
      <c r="P7" s="5" t="n">
        <v>1</v>
      </c>
      <c r="Q7" s="7" t="n"/>
      <c r="R7" s="7" t="n"/>
      <c r="S7" s="7" t="n"/>
      <c r="T7" s="12" t="n"/>
      <c r="U7" s="2" t="inlineStr"/>
      <c r="V7" s="10" t="inlineStr">
        <is>
          <t>Si no aparece ninguna linea, anotar el piso de ruido como nivel y escribir 'no aparece' en Notas.</t>
        </is>
      </c>
      <c r="W7" s="11" t="n"/>
    </row>
    <row r="8" ht="30" customHeight="1">
      <c r="A8" s="2" t="n">
        <v>7</v>
      </c>
      <c r="B8" s="3" t="inlineStr">
        <is>
          <t>A</t>
        </is>
      </c>
      <c r="C8" s="4" t="inlineStr">
        <is>
          <t>Gemelas</t>
        </is>
      </c>
      <c r="D8" s="5" t="n">
        <v>400</v>
      </c>
      <c r="E8" s="5" t="n">
        <v>200</v>
      </c>
      <c r="F8" s="5" t="n">
        <v>2</v>
      </c>
      <c r="G8" s="2" t="inlineStr">
        <is>
          <t>Enc</t>
        </is>
      </c>
      <c r="H8" s="2" t="inlineStr">
        <is>
          <t>Apag</t>
        </is>
      </c>
      <c r="I8" s="2" t="inlineStr">
        <is>
          <t>Apag</t>
        </is>
      </c>
      <c r="J8" s="2" t="inlineStr">
        <is>
          <t>Apag</t>
        </is>
      </c>
      <c r="K8" s="2" t="inlineStr">
        <is>
          <t>Gemela tono</t>
        </is>
      </c>
      <c r="L8" s="6">
        <f>IF($K8="Vista ancha",$D8+0.1,$D8+IF($K8="Fuga",0,IF($K8="Tono",$E8,IF($K8="Imagen",-$E8,IF($K8="Replica fuga",Parametros!$B$2,IF($K8="Replica tono",$E8+Parametros!$B$2,IF($K8="Gemela fuga",-Parametros!$B$2,IF($K8="Gemela tono",$E8-Parametros!$B$2,0)))))))/1000)</f>
        <v/>
      </c>
      <c r="M8" s="6">
        <f>L8-O8/2000</f>
        <v/>
      </c>
      <c r="N8" s="6">
        <f>L8+O8/2000</f>
        <v/>
      </c>
      <c r="O8" s="5" t="n">
        <v>20</v>
      </c>
      <c r="P8" s="5" t="n">
        <v>1</v>
      </c>
      <c r="Q8" s="7" t="n"/>
      <c r="R8" s="7" t="n"/>
      <c r="S8" s="7" t="n"/>
      <c r="T8" s="12" t="n"/>
      <c r="U8" s="2" t="inlineStr"/>
      <c r="V8" s="10" t="inlineStr">
        <is>
          <t>Igual que la fila anterior si no aparece nada.</t>
        </is>
      </c>
      <c r="W8" s="11" t="n"/>
    </row>
    <row r="9" ht="45" customHeight="1">
      <c r="A9" s="2" t="n">
        <v>8</v>
      </c>
      <c r="B9" s="3" t="inlineStr">
        <is>
          <t>A</t>
        </is>
      </c>
      <c r="C9" s="4" t="inlineStr">
        <is>
          <t>Frecuencia exacta</t>
        </is>
      </c>
      <c r="D9" s="5" t="n">
        <v>400</v>
      </c>
      <c r="E9" s="5" t="n">
        <v>200</v>
      </c>
      <c r="F9" s="5" t="n">
        <v>2</v>
      </c>
      <c r="G9" s="2" t="inlineStr">
        <is>
          <t>Enc</t>
        </is>
      </c>
      <c r="H9" s="2" t="inlineStr">
        <is>
          <t>Apag</t>
        </is>
      </c>
      <c r="I9" s="2" t="inlineStr">
        <is>
          <t>Apag</t>
        </is>
      </c>
      <c r="J9" s="2" t="inlineStr">
        <is>
          <t>Apag</t>
        </is>
      </c>
      <c r="K9" s="2" t="inlineStr">
        <is>
          <t>Fuga</t>
        </is>
      </c>
      <c r="L9" s="6">
        <f>IF($K9="Vista ancha",$D9+0.1,$D9+IF($K9="Fuga",0,IF($K9="Tono",$E9,IF($K9="Imagen",-$E9,IF($K9="Replica fuga",Parametros!$B$2,IF($K9="Replica tono",$E9+Parametros!$B$2,IF($K9="Gemela fuga",-Parametros!$B$2,IF($K9="Gemela tono",$E9-Parametros!$B$2,0)))))))/1000)</f>
        <v/>
      </c>
      <c r="M9" s="6">
        <f>L9-O9/2000</f>
        <v/>
      </c>
      <c r="N9" s="6">
        <f>L9+O9/2000</f>
        <v/>
      </c>
      <c r="O9" s="5" t="n">
        <v>2</v>
      </c>
      <c r="P9" s="5" t="n">
        <v>0.2</v>
      </c>
      <c r="Q9" s="7" t="n"/>
      <c r="R9" s="7" t="n"/>
      <c r="S9" s="13" t="n"/>
      <c r="T9" s="12" t="n"/>
      <c r="U9" s="2" t="inlineStr"/>
      <c r="V9" s="10" t="inlineStr">
        <is>
          <t>Ventana de 2 kHz y filtro de 200 Hz. Marcador en el pico. Anotar la frecuencia del marcador con todos los decimales en la columna 'f medida'.</t>
        </is>
      </c>
      <c r="W9" s="11" t="n"/>
    </row>
    <row r="10" ht="45" customHeight="1">
      <c r="A10" s="2" t="n">
        <v>9</v>
      </c>
      <c r="B10" s="3" t="inlineStr">
        <is>
          <t>A</t>
        </is>
      </c>
      <c r="C10" s="4" t="inlineStr">
        <is>
          <t>Frecuencia exacta</t>
        </is>
      </c>
      <c r="D10" s="5" t="n">
        <v>400</v>
      </c>
      <c r="E10" s="5" t="n">
        <v>200</v>
      </c>
      <c r="F10" s="5" t="n">
        <v>2</v>
      </c>
      <c r="G10" s="2" t="inlineStr">
        <is>
          <t>Enc</t>
        </is>
      </c>
      <c r="H10" s="2" t="inlineStr">
        <is>
          <t>Apag</t>
        </is>
      </c>
      <c r="I10" s="2" t="inlineStr">
        <is>
          <t>Apag</t>
        </is>
      </c>
      <c r="J10" s="2" t="inlineStr">
        <is>
          <t>Apag</t>
        </is>
      </c>
      <c r="K10" s="2" t="inlineStr">
        <is>
          <t>Replica fuga</t>
        </is>
      </c>
      <c r="L10" s="6">
        <f>IF($K10="Vista ancha",$D10+0.1,$D10+IF($K10="Fuga",0,IF($K10="Tono",$E10,IF($K10="Imagen",-$E10,IF($K10="Replica fuga",Parametros!$B$2,IF($K10="Replica tono",$E10+Parametros!$B$2,IF($K10="Gemela fuga",-Parametros!$B$2,IF($K10="Gemela tono",$E10-Parametros!$B$2,0)))))))/1000)</f>
        <v/>
      </c>
      <c r="M10" s="6">
        <f>L10-O10/2000</f>
        <v/>
      </c>
      <c r="N10" s="6">
        <f>L10+O10/2000</f>
        <v/>
      </c>
      <c r="O10" s="5" t="n">
        <v>2</v>
      </c>
      <c r="P10" s="5" t="n">
        <v>0.2</v>
      </c>
      <c r="Q10" s="7" t="n"/>
      <c r="R10" s="7" t="n"/>
      <c r="S10" s="13" t="n"/>
      <c r="T10" s="12" t="n"/>
      <c r="U10" s="2" t="inlineStr"/>
      <c r="V10" s="10" t="inlineStr">
        <is>
          <t>Igual que la fila anterior. Con estas dos filas la hoja Parametros calcula el corrimiento exacto y todas las ventanas se actualizan solas.</t>
        </is>
      </c>
      <c r="W10" s="11" t="n"/>
    </row>
    <row r="11" ht="30" customHeight="1">
      <c r="A11" s="2" t="n">
        <v>10</v>
      </c>
      <c r="B11" s="3" t="inlineStr">
        <is>
          <t>A</t>
        </is>
      </c>
      <c r="C11" s="4" t="inlineStr">
        <is>
          <t>Tono apagado</t>
        </is>
      </c>
      <c r="D11" s="5" t="n">
        <v>400</v>
      </c>
      <c r="E11" s="5" t="n">
        <v>200</v>
      </c>
      <c r="F11" s="5" t="n">
        <v>2</v>
      </c>
      <c r="G11" s="2" t="inlineStr">
        <is>
          <t>Apag</t>
        </is>
      </c>
      <c r="H11" s="2" t="inlineStr">
        <is>
          <t>Apag</t>
        </is>
      </c>
      <c r="I11" s="2" t="inlineStr">
        <is>
          <t>Apag</t>
        </is>
      </c>
      <c r="J11" s="2" t="inlineStr">
        <is>
          <t>Apag</t>
        </is>
      </c>
      <c r="K11" s="2" t="inlineStr">
        <is>
          <t>Replica fuga</t>
        </is>
      </c>
      <c r="L11" s="6">
        <f>IF($K11="Vista ancha",$D11+0.1,$D11+IF($K11="Fuga",0,IF($K11="Tono",$E11,IF($K11="Imagen",-$E11,IF($K11="Replica fuga",Parametros!$B$2,IF($K11="Replica tono",$E11+Parametros!$B$2,IF($K11="Gemela fuga",-Parametros!$B$2,IF($K11="Gemela tono",$E11-Parametros!$B$2,0)))))))/1000)</f>
        <v/>
      </c>
      <c r="M11" s="6">
        <f>L11-O11/2000</f>
        <v/>
      </c>
      <c r="N11" s="6">
        <f>L11+O11/2000</f>
        <v/>
      </c>
      <c r="O11" s="5" t="n">
        <v>20</v>
      </c>
      <c r="P11" s="5" t="n">
        <v>1</v>
      </c>
      <c r="Q11" s="7" t="n"/>
      <c r="R11" s="7" t="n"/>
      <c r="S11" s="7" t="n"/>
      <c r="T11" s="12" t="n"/>
      <c r="U11" s="2" t="inlineStr"/>
      <c r="V11" s="10" t="inlineStr">
        <is>
          <t>Tono principal en Apagado.</t>
        </is>
      </c>
      <c r="W11" s="11" t="n"/>
    </row>
    <row r="12" ht="30" customHeight="1">
      <c r="A12" s="2" t="n">
        <v>11</v>
      </c>
      <c r="B12" s="3" t="inlineStr">
        <is>
          <t>A</t>
        </is>
      </c>
      <c r="C12" s="4" t="inlineStr">
        <is>
          <t>Tono apagado</t>
        </is>
      </c>
      <c r="D12" s="5" t="n">
        <v>400</v>
      </c>
      <c r="E12" s="5" t="n">
        <v>200</v>
      </c>
      <c r="F12" s="5" t="n">
        <v>2</v>
      </c>
      <c r="G12" s="2" t="inlineStr">
        <is>
          <t>Apag</t>
        </is>
      </c>
      <c r="H12" s="2" t="inlineStr">
        <is>
          <t>Apag</t>
        </is>
      </c>
      <c r="I12" s="2" t="inlineStr">
        <is>
          <t>Apag</t>
        </is>
      </c>
      <c r="J12" s="2" t="inlineStr">
        <is>
          <t>Apag</t>
        </is>
      </c>
      <c r="K12" s="2" t="inlineStr">
        <is>
          <t>Replica tono</t>
        </is>
      </c>
      <c r="L12" s="6">
        <f>IF($K12="Vista ancha",$D12+0.1,$D12+IF($K12="Fuga",0,IF($K12="Tono",$E12,IF($K12="Imagen",-$E12,IF($K12="Replica fuga",Parametros!$B$2,IF($K12="Replica tono",$E12+Parametros!$B$2,IF($K12="Gemela fuga",-Parametros!$B$2,IF($K12="Gemela tono",$E12-Parametros!$B$2,0)))))))/1000)</f>
        <v/>
      </c>
      <c r="M12" s="6">
        <f>L12-O12/2000</f>
        <v/>
      </c>
      <c r="N12" s="6">
        <f>L12+O12/2000</f>
        <v/>
      </c>
      <c r="O12" s="5" t="n">
        <v>20</v>
      </c>
      <c r="P12" s="5" t="n">
        <v>1</v>
      </c>
      <c r="Q12" s="7" t="n"/>
      <c r="R12" s="7" t="n"/>
      <c r="S12" s="7" t="n"/>
      <c r="T12" s="12" t="n"/>
      <c r="U12" s="2" t="inlineStr"/>
      <c r="V12" s="10" t="inlineStr">
        <is>
          <t>Se espera que desaparezca. Si no se ve nada, anotar el piso.</t>
        </is>
      </c>
      <c r="W12" s="11" t="n"/>
    </row>
    <row r="13" ht="45" customHeight="1">
      <c r="A13" s="2" t="n">
        <v>12</v>
      </c>
      <c r="B13" s="3" t="inlineStr">
        <is>
          <t>A</t>
        </is>
      </c>
      <c r="C13" s="4" t="inlineStr">
        <is>
          <t>Tono con correccion de imagen</t>
        </is>
      </c>
      <c r="D13" s="5" t="n">
        <v>400</v>
      </c>
      <c r="E13" s="5" t="n">
        <v>200</v>
      </c>
      <c r="F13" s="5" t="n">
        <v>2</v>
      </c>
      <c r="G13" s="2" t="inlineStr">
        <is>
          <t>Enc</t>
        </is>
      </c>
      <c r="H13" s="2" t="inlineStr">
        <is>
          <t>Enc</t>
        </is>
      </c>
      <c r="I13" s="2" t="inlineStr">
        <is>
          <t>Apag</t>
        </is>
      </c>
      <c r="J13" s="2" t="inlineStr">
        <is>
          <t>Apag</t>
        </is>
      </c>
      <c r="K13" s="2" t="inlineStr">
        <is>
          <t>Tono</t>
        </is>
      </c>
      <c r="L13" s="6">
        <f>IF($K13="Vista ancha",$D13+0.1,$D13+IF($K13="Fuga",0,IF($K13="Tono",$E13,IF($K13="Imagen",-$E13,IF($K13="Replica fuga",Parametros!$B$2,IF($K13="Replica tono",$E13+Parametros!$B$2,IF($K13="Gemela fuga",-Parametros!$B$2,IF($K13="Gemela tono",$E13-Parametros!$B$2,0)))))))/1000)</f>
        <v/>
      </c>
      <c r="M13" s="6">
        <f>L13-O13/2000</f>
        <v/>
      </c>
      <c r="N13" s="6">
        <f>L13+O13/2000</f>
        <v/>
      </c>
      <c r="O13" s="5" t="n">
        <v>20</v>
      </c>
      <c r="P13" s="5" t="n">
        <v>1</v>
      </c>
      <c r="Q13" s="7" t="n"/>
      <c r="R13" s="7" t="n"/>
      <c r="S13" s="7" t="n"/>
      <c r="T13" s="12" t="n"/>
      <c r="U13" s="2" t="inlineStr"/>
      <c r="V13" s="10" t="inlineStr">
        <is>
          <t>Tono principal Encendido. Correccion de imagen Encendida, con -34,5 dB y 15 grados. Las cuatro filas de tono se miden en la misma ventana, solo cambiando el interruptor.</t>
        </is>
      </c>
      <c r="W13" s="11" t="n"/>
    </row>
    <row r="14" ht="30" customHeight="1">
      <c r="A14" s="2" t="n">
        <v>13</v>
      </c>
      <c r="B14" s="3" t="inlineStr">
        <is>
          <t>A</t>
        </is>
      </c>
      <c r="C14" s="4" t="inlineStr">
        <is>
          <t>Tono con correccion de imagen</t>
        </is>
      </c>
      <c r="D14" s="5" t="n">
        <v>400</v>
      </c>
      <c r="E14" s="5" t="n">
        <v>200</v>
      </c>
      <c r="F14" s="5" t="n">
        <v>2</v>
      </c>
      <c r="G14" s="2" t="inlineStr">
        <is>
          <t>Enc</t>
        </is>
      </c>
      <c r="H14" s="2" t="inlineStr">
        <is>
          <t>Apag</t>
        </is>
      </c>
      <c r="I14" s="2" t="inlineStr">
        <is>
          <t>Apag</t>
        </is>
      </c>
      <c r="J14" s="2" t="inlineStr">
        <is>
          <t>Apag</t>
        </is>
      </c>
      <c r="K14" s="2" t="inlineStr">
        <is>
          <t>Tono</t>
        </is>
      </c>
      <c r="L14" s="6">
        <f>IF($K14="Vista ancha",$D14+0.1,$D14+IF($K14="Fuga",0,IF($K14="Tono",$E14,IF($K14="Imagen",-$E14,IF($K14="Replica fuga",Parametros!$B$2,IF($K14="Replica tono",$E14+Parametros!$B$2,IF($K14="Gemela fuga",-Parametros!$B$2,IF($K14="Gemela tono",$E14-Parametros!$B$2,0)))))))/1000)</f>
        <v/>
      </c>
      <c r="M14" s="6">
        <f>L14-O14/2000</f>
        <v/>
      </c>
      <c r="N14" s="6">
        <f>L14+O14/2000</f>
        <v/>
      </c>
      <c r="O14" s="5" t="n">
        <v>20</v>
      </c>
      <c r="P14" s="5" t="n">
        <v>1</v>
      </c>
      <c r="Q14" s="7" t="n"/>
      <c r="R14" s="7" t="n"/>
      <c r="S14" s="7" t="n"/>
      <c r="T14" s="12" t="n"/>
      <c r="U14" s="2" t="inlineStr"/>
      <c r="V14" s="10" t="inlineStr">
        <is>
          <t>Correccion de imagen Apagada.</t>
        </is>
      </c>
      <c r="W14" s="11" t="n"/>
    </row>
    <row r="15" ht="30" customHeight="1">
      <c r="A15" s="2" t="n">
        <v>14</v>
      </c>
      <c r="B15" s="3" t="inlineStr">
        <is>
          <t>A</t>
        </is>
      </c>
      <c r="C15" s="4" t="inlineStr">
        <is>
          <t>Tono con correccion de imagen</t>
        </is>
      </c>
      <c r="D15" s="5" t="n">
        <v>400</v>
      </c>
      <c r="E15" s="5" t="n">
        <v>200</v>
      </c>
      <c r="F15" s="5" t="n">
        <v>2</v>
      </c>
      <c r="G15" s="2" t="inlineStr">
        <is>
          <t>Enc</t>
        </is>
      </c>
      <c r="H15" s="2" t="inlineStr">
        <is>
          <t>Enc</t>
        </is>
      </c>
      <c r="I15" s="2" t="inlineStr">
        <is>
          <t>Apag</t>
        </is>
      </c>
      <c r="J15" s="2" t="inlineStr">
        <is>
          <t>Apag</t>
        </is>
      </c>
      <c r="K15" s="2" t="inlineStr">
        <is>
          <t>Tono</t>
        </is>
      </c>
      <c r="L15" s="6">
        <f>IF($K15="Vista ancha",$D15+0.1,$D15+IF($K15="Fuga",0,IF($K15="Tono",$E15,IF($K15="Imagen",-$E15,IF($K15="Replica fuga",Parametros!$B$2,IF($K15="Replica tono",$E15+Parametros!$B$2,IF($K15="Gemela fuga",-Parametros!$B$2,IF($K15="Gemela tono",$E15-Parametros!$B$2,0)))))))/1000)</f>
        <v/>
      </c>
      <c r="M15" s="6">
        <f>L15-O15/2000</f>
        <v/>
      </c>
      <c r="N15" s="6">
        <f>L15+O15/2000</f>
        <v/>
      </c>
      <c r="O15" s="5" t="n">
        <v>20</v>
      </c>
      <c r="P15" s="5" t="n">
        <v>1</v>
      </c>
      <c r="Q15" s="7" t="n"/>
      <c r="R15" s="7" t="n"/>
      <c r="S15" s="7" t="n"/>
      <c r="T15" s="12" t="n"/>
      <c r="U15" s="2" t="inlineStr"/>
      <c r="V15" s="10" t="inlineStr">
        <is>
          <t>Correccion de imagen Encendida.</t>
        </is>
      </c>
      <c r="W15" s="11" t="n"/>
    </row>
    <row r="16" ht="30" customHeight="1">
      <c r="A16" s="2" t="n">
        <v>15</v>
      </c>
      <c r="B16" s="3" t="inlineStr">
        <is>
          <t>A</t>
        </is>
      </c>
      <c r="C16" s="4" t="inlineStr">
        <is>
          <t>Replicas con correccion de imagen</t>
        </is>
      </c>
      <c r="D16" s="5" t="n">
        <v>400</v>
      </c>
      <c r="E16" s="5" t="n">
        <v>200</v>
      </c>
      <c r="F16" s="5" t="n">
        <v>2</v>
      </c>
      <c r="G16" s="2" t="inlineStr">
        <is>
          <t>Enc</t>
        </is>
      </c>
      <c r="H16" s="2" t="inlineStr">
        <is>
          <t>Enc</t>
        </is>
      </c>
      <c r="I16" s="2" t="inlineStr">
        <is>
          <t>Apag</t>
        </is>
      </c>
      <c r="J16" s="2" t="inlineStr">
        <is>
          <t>Apag</t>
        </is>
      </c>
      <c r="K16" s="2" t="inlineStr">
        <is>
          <t>Replica fuga</t>
        </is>
      </c>
      <c r="L16" s="6">
        <f>IF($K16="Vista ancha",$D16+0.1,$D16+IF($K16="Fuga",0,IF($K16="Tono",$E16,IF($K16="Imagen",-$E16,IF($K16="Replica fuga",Parametros!$B$2,IF($K16="Replica tono",$E16+Parametros!$B$2,IF($K16="Gemela fuga",-Parametros!$B$2,IF($K16="Gemela tono",$E16-Parametros!$B$2,0)))))))/1000)</f>
        <v/>
      </c>
      <c r="M16" s="6">
        <f>L16-O16/2000</f>
        <v/>
      </c>
      <c r="N16" s="6">
        <f>L16+O16/2000</f>
        <v/>
      </c>
      <c r="O16" s="5" t="n">
        <v>20</v>
      </c>
      <c r="P16" s="5" t="n">
        <v>1</v>
      </c>
      <c r="Q16" s="7" t="n"/>
      <c r="R16" s="7" t="n"/>
      <c r="S16" s="7" t="n"/>
      <c r="T16" s="12" t="n"/>
      <c r="U16" s="2" t="inlineStr"/>
      <c r="V16" s="4" t="inlineStr"/>
      <c r="W16" s="11" t="n"/>
    </row>
    <row r="17" ht="30" customHeight="1">
      <c r="A17" s="2" t="n">
        <v>16</v>
      </c>
      <c r="B17" s="3" t="inlineStr">
        <is>
          <t>A</t>
        </is>
      </c>
      <c r="C17" s="4" t="inlineStr">
        <is>
          <t>Replicas con correccion de imagen</t>
        </is>
      </c>
      <c r="D17" s="5" t="n">
        <v>400</v>
      </c>
      <c r="E17" s="5" t="n">
        <v>200</v>
      </c>
      <c r="F17" s="5" t="n">
        <v>2</v>
      </c>
      <c r="G17" s="2" t="inlineStr">
        <is>
          <t>Enc</t>
        </is>
      </c>
      <c r="H17" s="2" t="inlineStr">
        <is>
          <t>Enc</t>
        </is>
      </c>
      <c r="I17" s="2" t="inlineStr">
        <is>
          <t>Apag</t>
        </is>
      </c>
      <c r="J17" s="2" t="inlineStr">
        <is>
          <t>Apag</t>
        </is>
      </c>
      <c r="K17" s="2" t="inlineStr">
        <is>
          <t>Replica tono</t>
        </is>
      </c>
      <c r="L17" s="6">
        <f>IF($K17="Vista ancha",$D17+0.1,$D17+IF($K17="Fuga",0,IF($K17="Tono",$E17,IF($K17="Imagen",-$E17,IF($K17="Replica fuga",Parametros!$B$2,IF($K17="Replica tono",$E17+Parametros!$B$2,IF($K17="Gemela fuga",-Parametros!$B$2,IF($K17="Gemela tono",$E17-Parametros!$B$2,0)))))))/1000)</f>
        <v/>
      </c>
      <c r="M17" s="6">
        <f>L17-O17/2000</f>
        <v/>
      </c>
      <c r="N17" s="6">
        <f>L17+O17/2000</f>
        <v/>
      </c>
      <c r="O17" s="5" t="n">
        <v>20</v>
      </c>
      <c r="P17" s="5" t="n">
        <v>1</v>
      </c>
      <c r="Q17" s="7" t="n"/>
      <c r="R17" s="7" t="n"/>
      <c r="S17" s="7" t="n"/>
      <c r="T17" s="12" t="n"/>
      <c r="U17" s="2" t="inlineStr"/>
      <c r="V17" s="4" t="inlineStr"/>
      <c r="W17" s="11" t="n"/>
    </row>
    <row r="18" ht="30" customHeight="1">
      <c r="A18" s="2" t="n">
        <v>17</v>
      </c>
      <c r="B18" s="3" t="inlineStr">
        <is>
          <t>A</t>
        </is>
      </c>
      <c r="C18" s="4" t="inlineStr">
        <is>
          <t>Replicas con correccion de imagen</t>
        </is>
      </c>
      <c r="D18" s="5" t="n">
        <v>400</v>
      </c>
      <c r="E18" s="5" t="n">
        <v>200</v>
      </c>
      <c r="F18" s="5" t="n">
        <v>2</v>
      </c>
      <c r="G18" s="2" t="inlineStr">
        <is>
          <t>Enc</t>
        </is>
      </c>
      <c r="H18" s="2" t="inlineStr">
        <is>
          <t>Enc</t>
        </is>
      </c>
      <c r="I18" s="2" t="inlineStr">
        <is>
          <t>Apag</t>
        </is>
      </c>
      <c r="J18" s="2" t="inlineStr">
        <is>
          <t>Apag</t>
        </is>
      </c>
      <c r="K18" s="2" t="inlineStr">
        <is>
          <t>Imagen</t>
        </is>
      </c>
      <c r="L18" s="6">
        <f>IF($K18="Vista ancha",$D18+0.1,$D18+IF($K18="Fuga",0,IF($K18="Tono",$E18,IF($K18="Imagen",-$E18,IF($K18="Replica fuga",Parametros!$B$2,IF($K18="Replica tono",$E18+Parametros!$B$2,IF($K18="Gemela fuga",-Parametros!$B$2,IF($K18="Gemela tono",$E18-Parametros!$B$2,0)))))))/1000)</f>
        <v/>
      </c>
      <c r="M18" s="6">
        <f>L18-O18/2000</f>
        <v/>
      </c>
      <c r="N18" s="6">
        <f>L18+O18/2000</f>
        <v/>
      </c>
      <c r="O18" s="5" t="n">
        <v>20</v>
      </c>
      <c r="P18" s="5" t="n">
        <v>1</v>
      </c>
      <c r="Q18" s="7" t="n"/>
      <c r="R18" s="7" t="n"/>
      <c r="S18" s="7" t="n"/>
      <c r="T18" s="12" t="n"/>
      <c r="U18" s="2" t="inlineStr"/>
      <c r="V18" s="10" t="inlineStr">
        <is>
          <t>Control de que la correccion de imagen sigue funcionando: deberia dar alrededor de -93 dBm.</t>
        </is>
      </c>
      <c r="W18" s="11" t="n"/>
    </row>
    <row r="19" ht="45" customHeight="1">
      <c r="A19" s="2" t="n">
        <v>18</v>
      </c>
      <c r="B19" s="3" t="inlineStr">
        <is>
          <t>A</t>
        </is>
      </c>
      <c r="C19" s="4" t="inlineStr">
        <is>
          <t>4 MSPS</t>
        </is>
      </c>
      <c r="D19" s="5" t="n">
        <v>400</v>
      </c>
      <c r="E19" s="5" t="n">
        <v>200</v>
      </c>
      <c r="F19" s="5" t="n">
        <v>4</v>
      </c>
      <c r="G19" s="2" t="inlineStr">
        <is>
          <t>Enc</t>
        </is>
      </c>
      <c r="H19" s="2" t="inlineStr">
        <is>
          <t>Enc</t>
        </is>
      </c>
      <c r="I19" s="2" t="inlineStr">
        <is>
          <t>Apag</t>
        </is>
      </c>
      <c r="J19" s="2" t="inlineStr">
        <is>
          <t>Apag</t>
        </is>
      </c>
      <c r="K19" s="2" t="inlineStr">
        <is>
          <t>Vista ancha</t>
        </is>
      </c>
      <c r="L19" s="6">
        <f>IF($K19="Vista ancha",$D19+0.1,$D19+IF($K19="Fuga",0,IF($K19="Tono",$E19,IF($K19="Imagen",-$E19,IF($K19="Replica fuga",Parametros!$B$2,IF($K19="Replica tono",$E19+Parametros!$B$2,IF($K19="Gemela fuga",-Parametros!$B$2,IF($K19="Gemela tono",$E19-Parametros!$B$2,0)))))))/1000)</f>
        <v/>
      </c>
      <c r="M19" s="6">
        <f>L19-O19/2000</f>
        <v/>
      </c>
      <c r="N19" s="6">
        <f>L19+O19/2000</f>
        <v/>
      </c>
      <c r="O19" s="5" t="n">
        <v>2600</v>
      </c>
      <c r="P19" s="5" t="n">
        <v>3</v>
      </c>
      <c r="Q19" s="7" t="n"/>
      <c r="R19" s="7" t="n"/>
      <c r="S19" s="7" t="n"/>
      <c r="T19" s="8" t="n"/>
      <c r="U19" s="9" t="inlineStr">
        <is>
          <t>SI</t>
        </is>
      </c>
      <c r="V19" s="10" t="inlineStr">
        <is>
          <t>Tasa de muestreo en 4 MSPS y esperar 1 minuto. Si la consola muestra errores, cerrar el flujo desde su ventana, cambiar la tasa y volver a ejecutar. Anotar en Notas si alguna linea cambio de lugar respecto de la vista ancha del orden 1.</t>
        </is>
      </c>
      <c r="W19" s="11" t="n"/>
    </row>
    <row r="20" ht="30" customHeight="1">
      <c r="A20" s="2" t="n">
        <v>19</v>
      </c>
      <c r="B20" s="3" t="inlineStr">
        <is>
          <t>A</t>
        </is>
      </c>
      <c r="C20" s="4" t="inlineStr">
        <is>
          <t>4 MSPS</t>
        </is>
      </c>
      <c r="D20" s="5" t="n">
        <v>400</v>
      </c>
      <c r="E20" s="5" t="n">
        <v>200</v>
      </c>
      <c r="F20" s="5" t="n">
        <v>4</v>
      </c>
      <c r="G20" s="2" t="inlineStr">
        <is>
          <t>Enc</t>
        </is>
      </c>
      <c r="H20" s="2" t="inlineStr">
        <is>
          <t>Enc</t>
        </is>
      </c>
      <c r="I20" s="2" t="inlineStr">
        <is>
          <t>Apag</t>
        </is>
      </c>
      <c r="J20" s="2" t="inlineStr">
        <is>
          <t>Apag</t>
        </is>
      </c>
      <c r="K20" s="2" t="inlineStr">
        <is>
          <t>Fuga</t>
        </is>
      </c>
      <c r="L20" s="6">
        <f>IF($K20="Vista ancha",$D20+0.1,$D20+IF($K20="Fuga",0,IF($K20="Tono",$E20,IF($K20="Imagen",-$E20,IF($K20="Replica fuga",Parametros!$B$2,IF($K20="Replica tono",$E20+Parametros!$B$2,IF($K20="Gemela fuga",-Parametros!$B$2,IF($K20="Gemela tono",$E20-Parametros!$B$2,0)))))))/1000)</f>
        <v/>
      </c>
      <c r="M20" s="6">
        <f>L20-O20/2000</f>
        <v/>
      </c>
      <c r="N20" s="6">
        <f>L20+O20/2000</f>
        <v/>
      </c>
      <c r="O20" s="5" t="n">
        <v>20</v>
      </c>
      <c r="P20" s="5" t="n">
        <v>1</v>
      </c>
      <c r="Q20" s="7" t="n"/>
      <c r="R20" s="7" t="n"/>
      <c r="S20" s="7" t="n"/>
      <c r="T20" s="12" t="n"/>
      <c r="U20" s="2" t="inlineStr"/>
      <c r="V20" s="4" t="inlineStr"/>
      <c r="W20" s="11" t="n"/>
    </row>
    <row r="21" ht="30" customHeight="1">
      <c r="A21" s="2" t="n">
        <v>20</v>
      </c>
      <c r="B21" s="3" t="inlineStr">
        <is>
          <t>A</t>
        </is>
      </c>
      <c r="C21" s="4" t="inlineStr">
        <is>
          <t>4 MSPS</t>
        </is>
      </c>
      <c r="D21" s="5" t="n">
        <v>400</v>
      </c>
      <c r="E21" s="5" t="n">
        <v>200</v>
      </c>
      <c r="F21" s="5" t="n">
        <v>4</v>
      </c>
      <c r="G21" s="2" t="inlineStr">
        <is>
          <t>Enc</t>
        </is>
      </c>
      <c r="H21" s="2" t="inlineStr">
        <is>
          <t>Enc</t>
        </is>
      </c>
      <c r="I21" s="2" t="inlineStr">
        <is>
          <t>Apag</t>
        </is>
      </c>
      <c r="J21" s="2" t="inlineStr">
        <is>
          <t>Apag</t>
        </is>
      </c>
      <c r="K21" s="2" t="inlineStr">
        <is>
          <t>Tono</t>
        </is>
      </c>
      <c r="L21" s="6">
        <f>IF($K21="Vista ancha",$D21+0.1,$D21+IF($K21="Fuga",0,IF($K21="Tono",$E21,IF($K21="Imagen",-$E21,IF($K21="Replica fuga",Parametros!$B$2,IF($K21="Replica tono",$E21+Parametros!$B$2,IF($K21="Gemela fuga",-Parametros!$B$2,IF($K21="Gemela tono",$E21-Parametros!$B$2,0)))))))/1000)</f>
        <v/>
      </c>
      <c r="M21" s="6">
        <f>L21-O21/2000</f>
        <v/>
      </c>
      <c r="N21" s="6">
        <f>L21+O21/2000</f>
        <v/>
      </c>
      <c r="O21" s="5" t="n">
        <v>20</v>
      </c>
      <c r="P21" s="5" t="n">
        <v>1</v>
      </c>
      <c r="Q21" s="7" t="n"/>
      <c r="R21" s="7" t="n"/>
      <c r="S21" s="7" t="n"/>
      <c r="T21" s="12" t="n"/>
      <c r="U21" s="2" t="inlineStr"/>
      <c r="V21" s="4" t="inlineStr"/>
      <c r="W21" s="11" t="n"/>
    </row>
    <row r="22" ht="45" customHeight="1">
      <c r="A22" s="2" t="n">
        <v>21</v>
      </c>
      <c r="B22" s="3" t="inlineStr">
        <is>
          <t>A</t>
        </is>
      </c>
      <c r="C22" s="4" t="inlineStr">
        <is>
          <t>4 MSPS</t>
        </is>
      </c>
      <c r="D22" s="5" t="n">
        <v>400</v>
      </c>
      <c r="E22" s="5" t="n">
        <v>200</v>
      </c>
      <c r="F22" s="5" t="n">
        <v>4</v>
      </c>
      <c r="G22" s="2" t="inlineStr">
        <is>
          <t>Enc</t>
        </is>
      </c>
      <c r="H22" s="2" t="inlineStr">
        <is>
          <t>Enc</t>
        </is>
      </c>
      <c r="I22" s="2" t="inlineStr">
        <is>
          <t>Apag</t>
        </is>
      </c>
      <c r="J22" s="2" t="inlineStr">
        <is>
          <t>Apag</t>
        </is>
      </c>
      <c r="K22" s="2" t="inlineStr">
        <is>
          <t>Imagen</t>
        </is>
      </c>
      <c r="L22" s="6">
        <f>IF($K22="Vista ancha",$D22+0.1,$D22+IF($K22="Fuga",0,IF($K22="Tono",$E22,IF($K22="Imagen",-$E22,IF($K22="Replica fuga",Parametros!$B$2,IF($K22="Replica tono",$E22+Parametros!$B$2,IF($K22="Gemela fuga",-Parametros!$B$2,IF($K22="Gemela tono",$E22-Parametros!$B$2,0)))))))/1000)</f>
        <v/>
      </c>
      <c r="M22" s="6">
        <f>L22-O22/2000</f>
        <v/>
      </c>
      <c r="N22" s="6">
        <f>L22+O22/2000</f>
        <v/>
      </c>
      <c r="O22" s="5" t="n">
        <v>20</v>
      </c>
      <c r="P22" s="5" t="n">
        <v>1</v>
      </c>
      <c r="Q22" s="7" t="n"/>
      <c r="R22" s="7" t="n"/>
      <c r="S22" s="7" t="n"/>
      <c r="T22" s="12" t="n"/>
      <c r="U22" s="2" t="inlineStr"/>
      <c r="V22" s="10" t="inlineStr">
        <is>
          <t>Si la imagen quedo por encima de -88 dBm, el filtro nuevo cambio el desbalance: recalcular c con el bloque Imagen de la hoja Busqueda antes de seguir, y anotar el c nuevo en Notas.</t>
        </is>
      </c>
      <c r="W22" s="11" t="n"/>
    </row>
    <row r="23" ht="30" customHeight="1">
      <c r="A23" s="2" t="n">
        <v>22</v>
      </c>
      <c r="B23" s="3" t="inlineStr">
        <is>
          <t>A</t>
        </is>
      </c>
      <c r="C23" s="4" t="inlineStr">
        <is>
          <t>4 MSPS</t>
        </is>
      </c>
      <c r="D23" s="5" t="n">
        <v>400</v>
      </c>
      <c r="E23" s="5" t="n">
        <v>200</v>
      </c>
      <c r="F23" s="5" t="n">
        <v>4</v>
      </c>
      <c r="G23" s="2" t="inlineStr">
        <is>
          <t>Enc</t>
        </is>
      </c>
      <c r="H23" s="2" t="inlineStr">
        <is>
          <t>Enc</t>
        </is>
      </c>
      <c r="I23" s="2" t="inlineStr">
        <is>
          <t>Apag</t>
        </is>
      </c>
      <c r="J23" s="2" t="inlineStr">
        <is>
          <t>Apag</t>
        </is>
      </c>
      <c r="K23" s="2" t="inlineStr">
        <is>
          <t>Replica fuga</t>
        </is>
      </c>
      <c r="L23" s="6">
        <f>IF($K23="Vista ancha",$D23+0.1,$D23+IF($K23="Fuga",0,IF($K23="Tono",$E23,IF($K23="Imagen",-$E23,IF($K23="Replica fuga",Parametros!$B$2,IF($K23="Replica tono",$E23+Parametros!$B$2,IF($K23="Gemela fuga",-Parametros!$B$2,IF($K23="Gemela tono",$E23-Parametros!$B$2,0)))))))/1000)</f>
        <v/>
      </c>
      <c r="M23" s="6">
        <f>L23-O23/2000</f>
        <v/>
      </c>
      <c r="N23" s="6">
        <f>L23+O23/2000</f>
        <v/>
      </c>
      <c r="O23" s="5" t="n">
        <v>20</v>
      </c>
      <c r="P23" s="5" t="n">
        <v>1</v>
      </c>
      <c r="Q23" s="7" t="n"/>
      <c r="R23" s="7" t="n"/>
      <c r="S23" s="7" t="n"/>
      <c r="T23" s="12" t="n"/>
      <c r="U23" s="2" t="inlineStr"/>
      <c r="V23" s="10" t="inlineStr">
        <is>
          <t>Si no aparece en la frecuencia esperada, buscarla en la vista ancha y anotar donde esta.</t>
        </is>
      </c>
      <c r="W23" s="11" t="n"/>
    </row>
    <row r="24" ht="30" customHeight="1">
      <c r="A24" s="2" t="n">
        <v>23</v>
      </c>
      <c r="B24" s="3" t="inlineStr">
        <is>
          <t>A</t>
        </is>
      </c>
      <c r="C24" s="4" t="inlineStr">
        <is>
          <t>4 MSPS</t>
        </is>
      </c>
      <c r="D24" s="5" t="n">
        <v>400</v>
      </c>
      <c r="E24" s="5" t="n">
        <v>200</v>
      </c>
      <c r="F24" s="5" t="n">
        <v>4</v>
      </c>
      <c r="G24" s="2" t="inlineStr">
        <is>
          <t>Enc</t>
        </is>
      </c>
      <c r="H24" s="2" t="inlineStr">
        <is>
          <t>Enc</t>
        </is>
      </c>
      <c r="I24" s="2" t="inlineStr">
        <is>
          <t>Apag</t>
        </is>
      </c>
      <c r="J24" s="2" t="inlineStr">
        <is>
          <t>Apag</t>
        </is>
      </c>
      <c r="K24" s="2" t="inlineStr">
        <is>
          <t>Replica tono</t>
        </is>
      </c>
      <c r="L24" s="6">
        <f>IF($K24="Vista ancha",$D24+0.1,$D24+IF($K24="Fuga",0,IF($K24="Tono",$E24,IF($K24="Imagen",-$E24,IF($K24="Replica fuga",Parametros!$B$2,IF($K24="Replica tono",$E24+Parametros!$B$2,IF($K24="Gemela fuga",-Parametros!$B$2,IF($K24="Gemela tono",$E24-Parametros!$B$2,0)))))))/1000)</f>
        <v/>
      </c>
      <c r="M24" s="6">
        <f>L24-O24/2000</f>
        <v/>
      </c>
      <c r="N24" s="6">
        <f>L24+O24/2000</f>
        <v/>
      </c>
      <c r="O24" s="5" t="n">
        <v>20</v>
      </c>
      <c r="P24" s="5" t="n">
        <v>1</v>
      </c>
      <c r="Q24" s="7" t="n"/>
      <c r="R24" s="7" t="n"/>
      <c r="S24" s="7" t="n"/>
      <c r="T24" s="12" t="n"/>
      <c r="U24" s="2" t="inlineStr"/>
      <c r="V24" s="4" t="inlineStr"/>
      <c r="W24" s="11" t="n"/>
    </row>
    <row r="25" ht="30" customHeight="1">
      <c r="A25" s="2" t="n">
        <v>24</v>
      </c>
      <c r="B25" s="3" t="inlineStr">
        <is>
          <t>A</t>
        </is>
      </c>
      <c r="C25" s="4" t="inlineStr">
        <is>
          <t>4 MSPS</t>
        </is>
      </c>
      <c r="D25" s="5" t="n">
        <v>400</v>
      </c>
      <c r="E25" s="5" t="n">
        <v>200</v>
      </c>
      <c r="F25" s="5" t="n">
        <v>4</v>
      </c>
      <c r="G25" s="2" t="inlineStr">
        <is>
          <t>Enc</t>
        </is>
      </c>
      <c r="H25" s="2" t="inlineStr">
        <is>
          <t>Enc</t>
        </is>
      </c>
      <c r="I25" s="2" t="inlineStr">
        <is>
          <t>Apag</t>
        </is>
      </c>
      <c r="J25" s="2" t="inlineStr">
        <is>
          <t>Apag</t>
        </is>
      </c>
      <c r="K25" s="2" t="inlineStr">
        <is>
          <t>Gemela fuga</t>
        </is>
      </c>
      <c r="L25" s="6">
        <f>IF($K25="Vista ancha",$D25+0.1,$D25+IF($K25="Fuga",0,IF($K25="Tono",$E25,IF($K25="Imagen",-$E25,IF($K25="Replica fuga",Parametros!$B$2,IF($K25="Replica tono",$E25+Parametros!$B$2,IF($K25="Gemela fuga",-Parametros!$B$2,IF($K25="Gemela tono",$E25-Parametros!$B$2,0)))))))/1000)</f>
        <v/>
      </c>
      <c r="M25" s="6">
        <f>L25-O25/2000</f>
        <v/>
      </c>
      <c r="N25" s="6">
        <f>L25+O25/2000</f>
        <v/>
      </c>
      <c r="O25" s="5" t="n">
        <v>20</v>
      </c>
      <c r="P25" s="5" t="n">
        <v>1</v>
      </c>
      <c r="Q25" s="7" t="n"/>
      <c r="R25" s="7" t="n"/>
      <c r="S25" s="7" t="n"/>
      <c r="T25" s="12" t="n"/>
      <c r="U25" s="2" t="inlineStr"/>
      <c r="V25" s="10" t="inlineStr">
        <is>
          <t>Estas dos gemelas son la referencia para ver si la cancelacion crea algo del otro lado.</t>
        </is>
      </c>
      <c r="W25" s="11" t="n"/>
    </row>
    <row r="26" ht="30" customHeight="1">
      <c r="A26" s="2" t="n">
        <v>25</v>
      </c>
      <c r="B26" s="3" t="inlineStr">
        <is>
          <t>A</t>
        </is>
      </c>
      <c r="C26" s="4" t="inlineStr">
        <is>
          <t>4 MSPS</t>
        </is>
      </c>
      <c r="D26" s="5" t="n">
        <v>400</v>
      </c>
      <c r="E26" s="5" t="n">
        <v>200</v>
      </c>
      <c r="F26" s="5" t="n">
        <v>4</v>
      </c>
      <c r="G26" s="2" t="inlineStr">
        <is>
          <t>Enc</t>
        </is>
      </c>
      <c r="H26" s="2" t="inlineStr">
        <is>
          <t>Enc</t>
        </is>
      </c>
      <c r="I26" s="2" t="inlineStr">
        <is>
          <t>Apag</t>
        </is>
      </c>
      <c r="J26" s="2" t="inlineStr">
        <is>
          <t>Apag</t>
        </is>
      </c>
      <c r="K26" s="2" t="inlineStr">
        <is>
          <t>Gemela tono</t>
        </is>
      </c>
      <c r="L26" s="6">
        <f>IF($K26="Vista ancha",$D26+0.1,$D26+IF($K26="Fuga",0,IF($K26="Tono",$E26,IF($K26="Imagen",-$E26,IF($K26="Replica fuga",Parametros!$B$2,IF($K26="Replica tono",$E26+Parametros!$B$2,IF($K26="Gemela fuga",-Parametros!$B$2,IF($K26="Gemela tono",$E26-Parametros!$B$2,0)))))))/1000)</f>
        <v/>
      </c>
      <c r="M26" s="6">
        <f>L26-O26/2000</f>
        <v/>
      </c>
      <c r="N26" s="6">
        <f>L26+O26/2000</f>
        <v/>
      </c>
      <c r="O26" s="5" t="n">
        <v>20</v>
      </c>
      <c r="P26" s="5" t="n">
        <v>1</v>
      </c>
      <c r="Q26" s="7" t="n"/>
      <c r="R26" s="7" t="n"/>
      <c r="S26" s="7" t="n"/>
      <c r="T26" s="12" t="n"/>
      <c r="U26" s="2" t="inlineStr"/>
      <c r="V26" s="4" t="inlineStr"/>
      <c r="W26" s="11" t="n"/>
    </row>
    <row r="27" ht="30" customHeight="1">
      <c r="A27" s="2" t="n">
        <v>26</v>
      </c>
      <c r="B27" s="3" t="inlineStr">
        <is>
          <t>A</t>
        </is>
      </c>
      <c r="C27" s="4" t="inlineStr">
        <is>
          <t>4 MSPS, frecuencia exacta</t>
        </is>
      </c>
      <c r="D27" s="5" t="n">
        <v>400</v>
      </c>
      <c r="E27" s="5" t="n">
        <v>200</v>
      </c>
      <c r="F27" s="5" t="n">
        <v>4</v>
      </c>
      <c r="G27" s="2" t="inlineStr">
        <is>
          <t>Enc</t>
        </is>
      </c>
      <c r="H27" s="2" t="inlineStr">
        <is>
          <t>Enc</t>
        </is>
      </c>
      <c r="I27" s="2" t="inlineStr">
        <is>
          <t>Apag</t>
        </is>
      </c>
      <c r="J27" s="2" t="inlineStr">
        <is>
          <t>Apag</t>
        </is>
      </c>
      <c r="K27" s="2" t="inlineStr">
        <is>
          <t>Fuga</t>
        </is>
      </c>
      <c r="L27" s="6">
        <f>IF($K27="Vista ancha",$D27+0.1,$D27+IF($K27="Fuga",0,IF($K27="Tono",$E27,IF($K27="Imagen",-$E27,IF($K27="Replica fuga",Parametros!$B$2,IF($K27="Replica tono",$E27+Parametros!$B$2,IF($K27="Gemela fuga",-Parametros!$B$2,IF($K27="Gemela tono",$E27-Parametros!$B$2,0)))))))/1000)</f>
        <v/>
      </c>
      <c r="M27" s="6">
        <f>L27-O27/2000</f>
        <v/>
      </c>
      <c r="N27" s="6">
        <f>L27+O27/2000</f>
        <v/>
      </c>
      <c r="O27" s="5" t="n">
        <v>2</v>
      </c>
      <c r="P27" s="5" t="n">
        <v>0.2</v>
      </c>
      <c r="Q27" s="7" t="n"/>
      <c r="R27" s="7" t="n"/>
      <c r="S27" s="13" t="n"/>
      <c r="T27" s="12" t="n"/>
      <c r="U27" s="2" t="inlineStr"/>
      <c r="V27" s="4" t="inlineStr"/>
      <c r="W27" s="11" t="n"/>
    </row>
    <row r="28" ht="45" customHeight="1">
      <c r="A28" s="2" t="n">
        <v>27</v>
      </c>
      <c r="B28" s="3" t="inlineStr">
        <is>
          <t>A</t>
        </is>
      </c>
      <c r="C28" s="4" t="inlineStr">
        <is>
          <t>4 MSPS, frecuencia exacta</t>
        </is>
      </c>
      <c r="D28" s="5" t="n">
        <v>400</v>
      </c>
      <c r="E28" s="5" t="n">
        <v>200</v>
      </c>
      <c r="F28" s="5" t="n">
        <v>4</v>
      </c>
      <c r="G28" s="2" t="inlineStr">
        <is>
          <t>Enc</t>
        </is>
      </c>
      <c r="H28" s="2" t="inlineStr">
        <is>
          <t>Enc</t>
        </is>
      </c>
      <c r="I28" s="2" t="inlineStr">
        <is>
          <t>Apag</t>
        </is>
      </c>
      <c r="J28" s="2" t="inlineStr">
        <is>
          <t>Apag</t>
        </is>
      </c>
      <c r="K28" s="2" t="inlineStr">
        <is>
          <t>Replica fuga</t>
        </is>
      </c>
      <c r="L28" s="6">
        <f>IF($K28="Vista ancha",$D28+0.1,$D28+IF($K28="Fuga",0,IF($K28="Tono",$E28,IF($K28="Imagen",-$E28,IF($K28="Replica fuga",Parametros!$B$2,IF($K28="Replica tono",$E28+Parametros!$B$2,IF($K28="Gemela fuga",-Parametros!$B$2,IF($K28="Gemela tono",$E28-Parametros!$B$2,0)))))))/1000)</f>
        <v/>
      </c>
      <c r="M28" s="6">
        <f>L28-O28/2000</f>
        <v/>
      </c>
      <c r="N28" s="6">
        <f>L28+O28/2000</f>
        <v/>
      </c>
      <c r="O28" s="5" t="n">
        <v>2</v>
      </c>
      <c r="P28" s="5" t="n">
        <v>0.2</v>
      </c>
      <c r="Q28" s="7" t="n"/>
      <c r="R28" s="7" t="n"/>
      <c r="S28" s="13" t="n"/>
      <c r="T28" s="12" t="n"/>
      <c r="U28" s="2" t="inlineStr"/>
      <c r="V28" s="10" t="inlineStr">
        <is>
          <t>Si la hoja Parametros muestra una diferencia de mas de 50 Hz entre 2 y 4 MSPS, la espuria sale del reloj de muestras. Anotarlo y seguir igual, con el corrimiento de 4 MSPS.</t>
        </is>
      </c>
      <c r="W28" s="11" t="n"/>
    </row>
    <row r="29" ht="45" customHeight="1">
      <c r="A29" s="2" t="n">
        <v>28</v>
      </c>
      <c r="B29" s="14" t="inlineStr">
        <is>
          <t>B</t>
        </is>
      </c>
      <c r="C29" s="4" t="inlineStr">
        <is>
          <t>Cancelacion de la replica de la fuga</t>
        </is>
      </c>
      <c r="D29" s="5" t="n">
        <v>400</v>
      </c>
      <c r="E29" s="5" t="n">
        <v>200</v>
      </c>
      <c r="F29" s="5" t="n">
        <v>4</v>
      </c>
      <c r="G29" s="2" t="inlineStr">
        <is>
          <t>Enc</t>
        </is>
      </c>
      <c r="H29" s="2" t="inlineStr">
        <is>
          <t>Enc</t>
        </is>
      </c>
      <c r="I29" s="2" t="inlineStr">
        <is>
          <t>Apag</t>
        </is>
      </c>
      <c r="J29" s="2" t="inlineStr">
        <is>
          <t>Apag</t>
        </is>
      </c>
      <c r="K29" s="2" t="inlineStr">
        <is>
          <t>Replica fuga</t>
        </is>
      </c>
      <c r="L29" s="6">
        <f>IF($K29="Vista ancha",$D29+0.1,$D29+IF($K29="Fuga",0,IF($K29="Tono",$E29,IF($K29="Imagen",-$E29,IF($K29="Replica fuga",Parametros!$B$2,IF($K29="Replica tono",$E29+Parametros!$B$2,IF($K29="Gemela fuga",-Parametros!$B$2,IF($K29="Gemela tono",$E29-Parametros!$B$2,0)))))))/1000)</f>
        <v/>
      </c>
      <c r="M29" s="6">
        <f>L29-O29/2000</f>
        <v/>
      </c>
      <c r="N29" s="6">
        <f>L29+O29/2000</f>
        <v/>
      </c>
      <c r="O29" s="5" t="n">
        <v>20</v>
      </c>
      <c r="P29" s="5" t="n">
        <v>1</v>
      </c>
      <c r="Q29" s="7" t="n"/>
      <c r="R29" s="7" t="n"/>
      <c r="S29" s="7" t="n"/>
      <c r="T29" s="12" t="n"/>
      <c r="U29" s="9" t="inlineStr">
        <is>
          <t>SI</t>
        </is>
      </c>
      <c r="V29" s="10" t="inlineStr">
        <is>
          <t>Referencia antes de cancelar. Poner el corrimiento grueso del flujo en el valor de Parametros B2, redondeado a 0,01 kHz (con 4 MSPS usar Parametros B4 si es distinto), y el ajuste fino en 0.</t>
        </is>
      </c>
      <c r="W29" s="11" t="n"/>
    </row>
    <row r="30" ht="75" customHeight="1">
      <c r="A30" s="2" t="n">
        <v>29</v>
      </c>
      <c r="B30" s="14" t="inlineStr">
        <is>
          <t>B</t>
        </is>
      </c>
      <c r="C30" s="4" t="inlineStr">
        <is>
          <t>Cancelacion de la replica de la fuga</t>
        </is>
      </c>
      <c r="D30" s="5" t="n">
        <v>400</v>
      </c>
      <c r="E30" s="5" t="n">
        <v>200</v>
      </c>
      <c r="F30" s="5" t="n">
        <v>4</v>
      </c>
      <c r="G30" s="2" t="inlineStr">
        <is>
          <t>Enc</t>
        </is>
      </c>
      <c r="H30" s="2" t="inlineStr">
        <is>
          <t>Enc</t>
        </is>
      </c>
      <c r="I30" s="2" t="inlineStr">
        <is>
          <t>Enc</t>
        </is>
      </c>
      <c r="J30" s="2" t="inlineStr">
        <is>
          <t>Apag</t>
        </is>
      </c>
      <c r="K30" s="2" t="inlineStr">
        <is>
          <t>Replica fuga</t>
        </is>
      </c>
      <c r="L30" s="6">
        <f>IF($K30="Vista ancha",$D30+0.1,$D30+IF($K30="Fuga",0,IF($K30="Tono",$E30,IF($K30="Imagen",-$E30,IF($K30="Replica fuga",Parametros!$B$2,IF($K30="Replica tono",$E30+Parametros!$B$2,IF($K30="Gemela fuga",-Parametros!$B$2,IF($K30="Gemela tono",$E30-Parametros!$B$2,0)))))))/1000)</f>
        <v/>
      </c>
      <c r="M30" s="6">
        <f>L30-O30/2000</f>
        <v/>
      </c>
      <c r="N30" s="6">
        <f>L30+O30/2000</f>
        <v/>
      </c>
      <c r="O30" s="5" t="n">
        <v>20</v>
      </c>
      <c r="P30" s="5" t="n">
        <v>1</v>
      </c>
      <c r="Q30" s="5" t="n">
        <v>-59</v>
      </c>
      <c r="R30" s="5" t="n">
        <v>0</v>
      </c>
      <c r="S30" s="7" t="n"/>
      <c r="T30" s="12" t="n"/>
      <c r="U30" s="2" t="inlineStr"/>
      <c r="V30" s="10" t="inlineStr">
        <is>
          <t>Encender e. Promediado APAGADO. Si el marcador sube y baja en forma periodica, es el batido: mover el ajuste fino hasta que el periodo supere los 10 segundos. Si apenas se mueve, subir el nivel de e 10 dB. Anotar en Notas el valor final del fino y si el batido se pudo frenar. SI EL BATIDO ES ERRATICO O NO SE PUEDE FRENAR, la espuria no esta amarrada al reloj: saltar al orden 33, verificacion.</t>
        </is>
      </c>
      <c r="W30" s="11" t="n"/>
    </row>
    <row r="31" ht="75" customHeight="1">
      <c r="A31" s="2" t="n">
        <v>30</v>
      </c>
      <c r="B31" s="14" t="inlineStr">
        <is>
          <t>B</t>
        </is>
      </c>
      <c r="C31" s="4" t="inlineStr">
        <is>
          <t>Cancelacion de la replica de la fuga</t>
        </is>
      </c>
      <c r="D31" s="5" t="n">
        <v>400</v>
      </c>
      <c r="E31" s="5" t="n">
        <v>200</v>
      </c>
      <c r="F31" s="5" t="n">
        <v>4</v>
      </c>
      <c r="G31" s="2" t="inlineStr">
        <is>
          <t>Enc</t>
        </is>
      </c>
      <c r="H31" s="2" t="inlineStr">
        <is>
          <t>Enc</t>
        </is>
      </c>
      <c r="I31" s="2" t="inlineStr">
        <is>
          <t>Enc</t>
        </is>
      </c>
      <c r="J31" s="2" t="inlineStr">
        <is>
          <t>Apag</t>
        </is>
      </c>
      <c r="K31" s="2" t="inlineStr">
        <is>
          <t>Replica fuga</t>
        </is>
      </c>
      <c r="L31" s="6">
        <f>IF($K31="Vista ancha",$D31+0.1,$D31+IF($K31="Fuga",0,IF($K31="Tono",$E31,IF($K31="Imagen",-$E31,IF($K31="Replica fuga",Parametros!$B$2,IF($K31="Replica tono",$E31+Parametros!$B$2,IF($K31="Gemela fuga",-Parametros!$B$2,IF($K31="Gemela tono",$E31-Parametros!$B$2,0)))))))/1000)</f>
        <v/>
      </c>
      <c r="M31" s="6">
        <f>L31-O31/2000</f>
        <v/>
      </c>
      <c r="N31" s="6">
        <f>L31+O31/2000</f>
        <v/>
      </c>
      <c r="O31" s="5" t="n">
        <v>20</v>
      </c>
      <c r="P31" s="5" t="n">
        <v>1</v>
      </c>
      <c r="Q31" s="15">
        <f>Busqueda!$B$26</f>
        <v/>
      </c>
      <c r="R31" s="15">
        <f>Busqueda!$B$25</f>
        <v/>
      </c>
      <c r="S31" s="7" t="n"/>
      <c r="T31" s="12" t="n"/>
      <c r="U31" s="9" t="inlineStr">
        <is>
          <t>SI</t>
        </is>
      </c>
      <c r="V31" s="10" t="inlineStr">
        <is>
          <t>Antes de esta fila, completar el bloque e de la hoja Busqueda: tres lecturas con promediado 16. Despues poner e en el nivel y la fase calculados (columnas de nivel y fase de esta fila) y medir. Si queres, retocar fase +/-2 grados y nivel +/-0,5 dB y anotar el mejor en Notas.</t>
        </is>
      </c>
      <c r="W31" s="11" t="n"/>
    </row>
    <row r="32" ht="30" customHeight="1">
      <c r="A32" s="2" t="n">
        <v>31</v>
      </c>
      <c r="B32" s="14" t="inlineStr">
        <is>
          <t>B</t>
        </is>
      </c>
      <c r="C32" s="4" t="inlineStr">
        <is>
          <t>Cancelacion de la replica del tono</t>
        </is>
      </c>
      <c r="D32" s="5" t="n">
        <v>400</v>
      </c>
      <c r="E32" s="5" t="n">
        <v>200</v>
      </c>
      <c r="F32" s="5" t="n">
        <v>4</v>
      </c>
      <c r="G32" s="2" t="inlineStr">
        <is>
          <t>Enc</t>
        </is>
      </c>
      <c r="H32" s="2" t="inlineStr">
        <is>
          <t>Enc</t>
        </is>
      </c>
      <c r="I32" s="2" t="inlineStr">
        <is>
          <t>Enc</t>
        </is>
      </c>
      <c r="J32" s="2" t="inlineStr">
        <is>
          <t>Apag</t>
        </is>
      </c>
      <c r="K32" s="2" t="inlineStr">
        <is>
          <t>Replica tono</t>
        </is>
      </c>
      <c r="L32" s="6">
        <f>IF($K32="Vista ancha",$D32+0.1,$D32+IF($K32="Fuga",0,IF($K32="Tono",$E32,IF($K32="Imagen",-$E32,IF($K32="Replica fuga",Parametros!$B$2,IF($K32="Replica tono",$E32+Parametros!$B$2,IF($K32="Gemela fuga",-Parametros!$B$2,IF($K32="Gemela tono",$E32-Parametros!$B$2,0)))))))/1000)</f>
        <v/>
      </c>
      <c r="M32" s="6">
        <f>L32-O32/2000</f>
        <v/>
      </c>
      <c r="N32" s="6">
        <f>L32+O32/2000</f>
        <v/>
      </c>
      <c r="O32" s="5" t="n">
        <v>20</v>
      </c>
      <c r="P32" s="5" t="n">
        <v>1</v>
      </c>
      <c r="Q32" s="7" t="n"/>
      <c r="R32" s="7" t="n"/>
      <c r="S32" s="7" t="n"/>
      <c r="T32" s="12" t="n"/>
      <c r="U32" s="9" t="inlineStr">
        <is>
          <t>SI</t>
        </is>
      </c>
      <c r="V32" s="10" t="inlineStr">
        <is>
          <t>Referencia antes de cancelar, con e ya aplicado.</t>
        </is>
      </c>
      <c r="W32" s="11" t="n"/>
    </row>
    <row r="33" ht="45" customHeight="1">
      <c r="A33" s="2" t="n">
        <v>32</v>
      </c>
      <c r="B33" s="14" t="inlineStr">
        <is>
          <t>B</t>
        </is>
      </c>
      <c r="C33" s="4" t="inlineStr">
        <is>
          <t>Cancelacion de la replica del tono</t>
        </is>
      </c>
      <c r="D33" s="5" t="n">
        <v>400</v>
      </c>
      <c r="E33" s="5" t="n">
        <v>200</v>
      </c>
      <c r="F33" s="5" t="n">
        <v>4</v>
      </c>
      <c r="G33" s="2" t="inlineStr">
        <is>
          <t>Enc</t>
        </is>
      </c>
      <c r="H33" s="2" t="inlineStr">
        <is>
          <t>Enc</t>
        </is>
      </c>
      <c r="I33" s="2" t="inlineStr">
        <is>
          <t>Enc</t>
        </is>
      </c>
      <c r="J33" s="2" t="inlineStr">
        <is>
          <t>Enc</t>
        </is>
      </c>
      <c r="K33" s="2" t="inlineStr">
        <is>
          <t>Replica tono</t>
        </is>
      </c>
      <c r="L33" s="6">
        <f>IF($K33="Vista ancha",$D33+0.1,$D33+IF($K33="Fuga",0,IF($K33="Tono",$E33,IF($K33="Imagen",-$E33,IF($K33="Replica fuga",Parametros!$B$2,IF($K33="Replica tono",$E33+Parametros!$B$2,IF($K33="Gemela fuga",-Parametros!$B$2,IF($K33="Gemela tono",$E33-Parametros!$B$2,0)))))))/1000)</f>
        <v/>
      </c>
      <c r="M33" s="6">
        <f>L33-O33/2000</f>
        <v/>
      </c>
      <c r="N33" s="6">
        <f>L33+O33/2000</f>
        <v/>
      </c>
      <c r="O33" s="5" t="n">
        <v>20</v>
      </c>
      <c r="P33" s="5" t="n">
        <v>1</v>
      </c>
      <c r="Q33" s="15">
        <f>Busqueda!$B$41</f>
        <v/>
      </c>
      <c r="R33" s="15">
        <f>Busqueda!$B$40</f>
        <v/>
      </c>
      <c r="S33" s="7" t="n"/>
      <c r="T33" s="12" t="n"/>
      <c r="U33" s="9" t="inlineStr">
        <is>
          <t>SI</t>
        </is>
      </c>
      <c r="V33" s="10" t="inlineStr">
        <is>
          <t>Completar el bloque d de la hoja Busqueda con d en -52 dB (tres lecturas). Despues poner d en el nivel y la fase calculados y medir.</t>
        </is>
      </c>
      <c r="W33" s="11" t="n"/>
    </row>
    <row r="34" ht="30" customHeight="1">
      <c r="A34" s="2" t="n">
        <v>33</v>
      </c>
      <c r="B34" s="14" t="inlineStr">
        <is>
          <t>B</t>
        </is>
      </c>
      <c r="C34" s="4" t="inlineStr">
        <is>
          <t>Verificacion</t>
        </is>
      </c>
      <c r="D34" s="5" t="n">
        <v>400</v>
      </c>
      <c r="E34" s="5" t="n">
        <v>200</v>
      </c>
      <c r="F34" s="5" t="n">
        <v>4</v>
      </c>
      <c r="G34" s="2" t="inlineStr">
        <is>
          <t>Enc</t>
        </is>
      </c>
      <c r="H34" s="2" t="inlineStr">
        <is>
          <t>Enc</t>
        </is>
      </c>
      <c r="I34" s="2" t="inlineStr">
        <is>
          <t>Enc</t>
        </is>
      </c>
      <c r="J34" s="2" t="inlineStr">
        <is>
          <t>Enc</t>
        </is>
      </c>
      <c r="K34" s="2" t="inlineStr">
        <is>
          <t>Gemela fuga</t>
        </is>
      </c>
      <c r="L34" s="6">
        <f>IF($K34="Vista ancha",$D34+0.1,$D34+IF($K34="Fuga",0,IF($K34="Tono",$E34,IF($K34="Imagen",-$E34,IF($K34="Replica fuga",Parametros!$B$2,IF($K34="Replica tono",$E34+Parametros!$B$2,IF($K34="Gemela fuga",-Parametros!$B$2,IF($K34="Gemela tono",$E34-Parametros!$B$2,0)))))))/1000)</f>
        <v/>
      </c>
      <c r="M34" s="6">
        <f>L34-O34/2000</f>
        <v/>
      </c>
      <c r="N34" s="6">
        <f>L34+O34/2000</f>
        <v/>
      </c>
      <c r="O34" s="5" t="n">
        <v>20</v>
      </c>
      <c r="P34" s="5" t="n">
        <v>1</v>
      </c>
      <c r="Q34" s="7" t="n"/>
      <c r="R34" s="7" t="n"/>
      <c r="S34" s="7" t="n"/>
      <c r="T34" s="12" t="n"/>
      <c r="U34" s="9" t="inlineStr">
        <is>
          <t>SI</t>
        </is>
      </c>
      <c r="V34" s="10" t="inlineStr">
        <is>
          <t>Todo encendido. Comparar con las gemelas medidas a 4 MSPS antes de cancelar.</t>
        </is>
      </c>
      <c r="W34" s="11" t="n"/>
    </row>
    <row r="35" ht="30" customHeight="1">
      <c r="A35" s="2" t="n">
        <v>34</v>
      </c>
      <c r="B35" s="14" t="inlineStr">
        <is>
          <t>B</t>
        </is>
      </c>
      <c r="C35" s="4" t="inlineStr">
        <is>
          <t>Verificacion</t>
        </is>
      </c>
      <c r="D35" s="5" t="n">
        <v>400</v>
      </c>
      <c r="E35" s="5" t="n">
        <v>200</v>
      </c>
      <c r="F35" s="5" t="n">
        <v>4</v>
      </c>
      <c r="G35" s="2" t="inlineStr">
        <is>
          <t>Enc</t>
        </is>
      </c>
      <c r="H35" s="2" t="inlineStr">
        <is>
          <t>Enc</t>
        </is>
      </c>
      <c r="I35" s="2" t="inlineStr">
        <is>
          <t>Enc</t>
        </is>
      </c>
      <c r="J35" s="2" t="inlineStr">
        <is>
          <t>Enc</t>
        </is>
      </c>
      <c r="K35" s="2" t="inlineStr">
        <is>
          <t>Gemela tono</t>
        </is>
      </c>
      <c r="L35" s="6">
        <f>IF($K35="Vista ancha",$D35+0.1,$D35+IF($K35="Fuga",0,IF($K35="Tono",$E35,IF($K35="Imagen",-$E35,IF($K35="Replica fuga",Parametros!$B$2,IF($K35="Replica tono",$E35+Parametros!$B$2,IF($K35="Gemela fuga",-Parametros!$B$2,IF($K35="Gemela tono",$E35-Parametros!$B$2,0)))))))/1000)</f>
        <v/>
      </c>
      <c r="M35" s="6">
        <f>L35-O35/2000</f>
        <v/>
      </c>
      <c r="N35" s="6">
        <f>L35+O35/2000</f>
        <v/>
      </c>
      <c r="O35" s="5" t="n">
        <v>20</v>
      </c>
      <c r="P35" s="5" t="n">
        <v>1</v>
      </c>
      <c r="Q35" s="7" t="n"/>
      <c r="R35" s="7" t="n"/>
      <c r="S35" s="7" t="n"/>
      <c r="T35" s="12" t="n"/>
      <c r="U35" s="9" t="inlineStr">
        <is>
          <t>SI</t>
        </is>
      </c>
      <c r="V35" s="4" t="inlineStr"/>
      <c r="W35" s="11" t="n"/>
    </row>
    <row r="36" ht="30" customHeight="1">
      <c r="A36" s="2" t="n">
        <v>35</v>
      </c>
      <c r="B36" s="14" t="inlineStr">
        <is>
          <t>B</t>
        </is>
      </c>
      <c r="C36" s="4" t="inlineStr">
        <is>
          <t>Verificacion</t>
        </is>
      </c>
      <c r="D36" s="5" t="n">
        <v>400</v>
      </c>
      <c r="E36" s="5" t="n">
        <v>200</v>
      </c>
      <c r="F36" s="5" t="n">
        <v>4</v>
      </c>
      <c r="G36" s="2" t="inlineStr">
        <is>
          <t>Enc</t>
        </is>
      </c>
      <c r="H36" s="2" t="inlineStr">
        <is>
          <t>Enc</t>
        </is>
      </c>
      <c r="I36" s="2" t="inlineStr">
        <is>
          <t>Enc</t>
        </is>
      </c>
      <c r="J36" s="2" t="inlineStr">
        <is>
          <t>Enc</t>
        </is>
      </c>
      <c r="K36" s="2" t="inlineStr">
        <is>
          <t>Tono</t>
        </is>
      </c>
      <c r="L36" s="6">
        <f>IF($K36="Vista ancha",$D36+0.1,$D36+IF($K36="Fuga",0,IF($K36="Tono",$E36,IF($K36="Imagen",-$E36,IF($K36="Replica fuga",Parametros!$B$2,IF($K36="Replica tono",$E36+Parametros!$B$2,IF($K36="Gemela fuga",-Parametros!$B$2,IF($K36="Gemela tono",$E36-Parametros!$B$2,0)))))))/1000)</f>
        <v/>
      </c>
      <c r="M36" s="6">
        <f>L36-O36/2000</f>
        <v/>
      </c>
      <c r="N36" s="6">
        <f>L36+O36/2000</f>
        <v/>
      </c>
      <c r="O36" s="5" t="n">
        <v>20</v>
      </c>
      <c r="P36" s="5" t="n">
        <v>1</v>
      </c>
      <c r="Q36" s="7" t="n"/>
      <c r="R36" s="7" t="n"/>
      <c r="S36" s="7" t="n"/>
      <c r="T36" s="12" t="n"/>
      <c r="U36" s="2" t="inlineStr"/>
      <c r="V36" s="4" t="inlineStr"/>
      <c r="W36" s="11" t="n"/>
    </row>
    <row r="37" ht="30" customHeight="1">
      <c r="A37" s="2" t="n">
        <v>36</v>
      </c>
      <c r="B37" s="14" t="inlineStr">
        <is>
          <t>B</t>
        </is>
      </c>
      <c r="C37" s="4" t="inlineStr">
        <is>
          <t>Verificacion</t>
        </is>
      </c>
      <c r="D37" s="5" t="n">
        <v>400</v>
      </c>
      <c r="E37" s="5" t="n">
        <v>200</v>
      </c>
      <c r="F37" s="5" t="n">
        <v>4</v>
      </c>
      <c r="G37" s="2" t="inlineStr">
        <is>
          <t>Enc</t>
        </is>
      </c>
      <c r="H37" s="2" t="inlineStr">
        <is>
          <t>Enc</t>
        </is>
      </c>
      <c r="I37" s="2" t="inlineStr">
        <is>
          <t>Enc</t>
        </is>
      </c>
      <c r="J37" s="2" t="inlineStr">
        <is>
          <t>Enc</t>
        </is>
      </c>
      <c r="K37" s="2" t="inlineStr">
        <is>
          <t>Fuga</t>
        </is>
      </c>
      <c r="L37" s="6">
        <f>IF($K37="Vista ancha",$D37+0.1,$D37+IF($K37="Fuga",0,IF($K37="Tono",$E37,IF($K37="Imagen",-$E37,IF($K37="Replica fuga",Parametros!$B$2,IF($K37="Replica tono",$E37+Parametros!$B$2,IF($K37="Gemela fuga",-Parametros!$B$2,IF($K37="Gemela tono",$E37-Parametros!$B$2,0)))))))/1000)</f>
        <v/>
      </c>
      <c r="M37" s="6">
        <f>L37-O37/2000</f>
        <v/>
      </c>
      <c r="N37" s="6">
        <f>L37+O37/2000</f>
        <v/>
      </c>
      <c r="O37" s="5" t="n">
        <v>20</v>
      </c>
      <c r="P37" s="5" t="n">
        <v>1</v>
      </c>
      <c r="Q37" s="7" t="n"/>
      <c r="R37" s="7" t="n"/>
      <c r="S37" s="7" t="n"/>
      <c r="T37" s="12" t="n"/>
      <c r="U37" s="2" t="inlineStr"/>
      <c r="V37" s="4" t="inlineStr"/>
      <c r="W37" s="11" t="n"/>
    </row>
    <row r="38" ht="30" customHeight="1">
      <c r="A38" s="2" t="n">
        <v>37</v>
      </c>
      <c r="B38" s="14" t="inlineStr">
        <is>
          <t>B</t>
        </is>
      </c>
      <c r="C38" s="4" t="inlineStr">
        <is>
          <t>Verificacion</t>
        </is>
      </c>
      <c r="D38" s="5" t="n">
        <v>400</v>
      </c>
      <c r="E38" s="5" t="n">
        <v>200</v>
      </c>
      <c r="F38" s="5" t="n">
        <v>4</v>
      </c>
      <c r="G38" s="2" t="inlineStr">
        <is>
          <t>Enc</t>
        </is>
      </c>
      <c r="H38" s="2" t="inlineStr">
        <is>
          <t>Enc</t>
        </is>
      </c>
      <c r="I38" s="2" t="inlineStr">
        <is>
          <t>Enc</t>
        </is>
      </c>
      <c r="J38" s="2" t="inlineStr">
        <is>
          <t>Enc</t>
        </is>
      </c>
      <c r="K38" s="2" t="inlineStr">
        <is>
          <t>Imagen</t>
        </is>
      </c>
      <c r="L38" s="6">
        <f>IF($K38="Vista ancha",$D38+0.1,$D38+IF($K38="Fuga",0,IF($K38="Tono",$E38,IF($K38="Imagen",-$E38,IF($K38="Replica fuga",Parametros!$B$2,IF($K38="Replica tono",$E38+Parametros!$B$2,IF($K38="Gemela fuga",-Parametros!$B$2,IF($K38="Gemela tono",$E38-Parametros!$B$2,0)))))))/1000)</f>
        <v/>
      </c>
      <c r="M38" s="6">
        <f>L38-O38/2000</f>
        <v/>
      </c>
      <c r="N38" s="6">
        <f>L38+O38/2000</f>
        <v/>
      </c>
      <c r="O38" s="5" t="n">
        <v>20</v>
      </c>
      <c r="P38" s="5" t="n">
        <v>1</v>
      </c>
      <c r="Q38" s="7" t="n"/>
      <c r="R38" s="7" t="n"/>
      <c r="S38" s="7" t="n"/>
      <c r="T38" s="12" t="n"/>
      <c r="U38" s="2" t="inlineStr"/>
      <c r="V38" s="4" t="inlineStr"/>
      <c r="W38" s="11" t="n"/>
    </row>
    <row r="39" ht="30" customHeight="1">
      <c r="A39" s="2" t="n">
        <v>38</v>
      </c>
      <c r="B39" s="14" t="inlineStr">
        <is>
          <t>B</t>
        </is>
      </c>
      <c r="C39" s="4" t="inlineStr">
        <is>
          <t>Verificacion</t>
        </is>
      </c>
      <c r="D39" s="5" t="n">
        <v>400</v>
      </c>
      <c r="E39" s="5" t="n">
        <v>200</v>
      </c>
      <c r="F39" s="5" t="n">
        <v>4</v>
      </c>
      <c r="G39" s="2" t="inlineStr">
        <is>
          <t>Enc</t>
        </is>
      </c>
      <c r="H39" s="2" t="inlineStr">
        <is>
          <t>Enc</t>
        </is>
      </c>
      <c r="I39" s="2" t="inlineStr">
        <is>
          <t>Enc</t>
        </is>
      </c>
      <c r="J39" s="2" t="inlineStr">
        <is>
          <t>Enc</t>
        </is>
      </c>
      <c r="K39" s="2" t="inlineStr">
        <is>
          <t>Vista ancha</t>
        </is>
      </c>
      <c r="L39" s="6">
        <f>IF($K39="Vista ancha",$D39+0.1,$D39+IF($K39="Fuga",0,IF($K39="Tono",$E39,IF($K39="Imagen",-$E39,IF($K39="Replica fuga",Parametros!$B$2,IF($K39="Replica tono",$E39+Parametros!$B$2,IF($K39="Gemela fuga",-Parametros!$B$2,IF($K39="Gemela tono",$E39-Parametros!$B$2,0)))))))/1000)</f>
        <v/>
      </c>
      <c r="M39" s="6">
        <f>L39-O39/2000</f>
        <v/>
      </c>
      <c r="N39" s="6">
        <f>L39+O39/2000</f>
        <v/>
      </c>
      <c r="O39" s="5" t="n">
        <v>2600</v>
      </c>
      <c r="P39" s="5" t="n">
        <v>3</v>
      </c>
      <c r="Q39" s="7" t="n"/>
      <c r="R39" s="7" t="n"/>
      <c r="S39" s="7" t="n"/>
      <c r="T39" s="8" t="n"/>
      <c r="U39" s="9" t="inlineStr">
        <is>
          <t>SI</t>
        </is>
      </c>
      <c r="V39" s="10" t="inlineStr">
        <is>
          <t>Comparar con la vista ancha de 4 MSPS: no deberia aparecer ninguna linea nueva.</t>
        </is>
      </c>
      <c r="W39" s="11" t="n"/>
    </row>
    <row r="40" ht="30" customHeight="1">
      <c r="A40" s="2" t="n">
        <v>39</v>
      </c>
      <c r="B40" s="14" t="inlineStr">
        <is>
          <t>B</t>
        </is>
      </c>
      <c r="C40" s="4" t="inlineStr">
        <is>
          <t>Control de que el nulo se mantiene</t>
        </is>
      </c>
      <c r="D40" s="5" t="n">
        <v>400</v>
      </c>
      <c r="E40" s="5" t="n">
        <v>200</v>
      </c>
      <c r="F40" s="5" t="n">
        <v>4</v>
      </c>
      <c r="G40" s="2" t="inlineStr">
        <is>
          <t>Enc</t>
        </is>
      </c>
      <c r="H40" s="2" t="inlineStr">
        <is>
          <t>Enc</t>
        </is>
      </c>
      <c r="I40" s="2" t="inlineStr">
        <is>
          <t>Enc</t>
        </is>
      </c>
      <c r="J40" s="2" t="inlineStr">
        <is>
          <t>Enc</t>
        </is>
      </c>
      <c r="K40" s="2" t="inlineStr">
        <is>
          <t>Replica fuga</t>
        </is>
      </c>
      <c r="L40" s="6">
        <f>IF($K40="Vista ancha",$D40+0.1,$D40+IF($K40="Fuga",0,IF($K40="Tono",$E40,IF($K40="Imagen",-$E40,IF($K40="Replica fuga",Parametros!$B$2,IF($K40="Replica tono",$E40+Parametros!$B$2,IF($K40="Gemela fuga",-Parametros!$B$2,IF($K40="Gemela tono",$E40-Parametros!$B$2,0)))))))/1000)</f>
        <v/>
      </c>
      <c r="M40" s="6">
        <f>L40-O40/2000</f>
        <v/>
      </c>
      <c r="N40" s="6">
        <f>L40+O40/2000</f>
        <v/>
      </c>
      <c r="O40" s="5" t="n">
        <v>20</v>
      </c>
      <c r="P40" s="5" t="n">
        <v>1</v>
      </c>
      <c r="Q40" s="7" t="n"/>
      <c r="R40" s="7" t="n"/>
      <c r="S40" s="7" t="n"/>
      <c r="T40" s="12" t="n"/>
      <c r="U40" s="2" t="inlineStr"/>
      <c r="V40" s="10" t="inlineStr">
        <is>
          <t>Sin tocar nada desde la cancelacion. Si subio mas de 6 dB, el nulo deriva: anotarlo.</t>
        </is>
      </c>
      <c r="W40" s="11" t="n"/>
    </row>
    <row r="41" ht="30" customHeight="1">
      <c r="A41" s="2" t="n">
        <v>40</v>
      </c>
      <c r="B41" s="14" t="inlineStr">
        <is>
          <t>B</t>
        </is>
      </c>
      <c r="C41" s="4" t="inlineStr">
        <is>
          <t>Control de que el nulo se mantiene</t>
        </is>
      </c>
      <c r="D41" s="5" t="n">
        <v>400</v>
      </c>
      <c r="E41" s="5" t="n">
        <v>200</v>
      </c>
      <c r="F41" s="5" t="n">
        <v>4</v>
      </c>
      <c r="G41" s="2" t="inlineStr">
        <is>
          <t>Enc</t>
        </is>
      </c>
      <c r="H41" s="2" t="inlineStr">
        <is>
          <t>Enc</t>
        </is>
      </c>
      <c r="I41" s="2" t="inlineStr">
        <is>
          <t>Enc</t>
        </is>
      </c>
      <c r="J41" s="2" t="inlineStr">
        <is>
          <t>Enc</t>
        </is>
      </c>
      <c r="K41" s="2" t="inlineStr">
        <is>
          <t>Replica tono</t>
        </is>
      </c>
      <c r="L41" s="6">
        <f>IF($K41="Vista ancha",$D41+0.1,$D41+IF($K41="Fuga",0,IF($K41="Tono",$E41,IF($K41="Imagen",-$E41,IF($K41="Replica fuga",Parametros!$B$2,IF($K41="Replica tono",$E41+Parametros!$B$2,IF($K41="Gemela fuga",-Parametros!$B$2,IF($K41="Gemela tono",$E41-Parametros!$B$2,0)))))))/1000)</f>
        <v/>
      </c>
      <c r="M41" s="6">
        <f>L41-O41/2000</f>
        <v/>
      </c>
      <c r="N41" s="6">
        <f>L41+O41/2000</f>
        <v/>
      </c>
      <c r="O41" s="5" t="n">
        <v>20</v>
      </c>
      <c r="P41" s="5" t="n">
        <v>1</v>
      </c>
      <c r="Q41" s="7" t="n"/>
      <c r="R41" s="7" t="n"/>
      <c r="S41" s="7" t="n"/>
      <c r="T41" s="12" t="n"/>
      <c r="U41" s="2" t="inlineStr"/>
      <c r="V41" s="4" t="inlineStr"/>
      <c r="W41" s="11" t="n"/>
    </row>
    <row r="42" ht="30" customHeight="1">
      <c r="A42" s="2" t="n">
        <v>41</v>
      </c>
      <c r="B42" s="16" t="inlineStr">
        <is>
          <t>C</t>
        </is>
      </c>
      <c r="C42" s="4" t="inlineStr">
        <is>
          <t>Opcional: mismos e y d en 600 MHz</t>
        </is>
      </c>
      <c r="D42" s="5" t="n">
        <v>600</v>
      </c>
      <c r="E42" s="5" t="n">
        <v>200</v>
      </c>
      <c r="F42" s="5" t="n">
        <v>4</v>
      </c>
      <c r="G42" s="2" t="inlineStr">
        <is>
          <t>Enc</t>
        </is>
      </c>
      <c r="H42" s="2" t="inlineStr">
        <is>
          <t>Enc</t>
        </is>
      </c>
      <c r="I42" s="2" t="inlineStr">
        <is>
          <t>Apag</t>
        </is>
      </c>
      <c r="J42" s="2" t="inlineStr">
        <is>
          <t>Apag</t>
        </is>
      </c>
      <c r="K42" s="2" t="inlineStr">
        <is>
          <t>Replica fuga</t>
        </is>
      </c>
      <c r="L42" s="6">
        <f>IF($K42="Vista ancha",$D42+0.1,$D42+IF($K42="Fuga",0,IF($K42="Tono",$E42,IF($K42="Imagen",-$E42,IF($K42="Replica fuga",Parametros!$B$2,IF($K42="Replica tono",$E42+Parametros!$B$2,IF($K42="Gemela fuga",-Parametros!$B$2,IF($K42="Gemela tono",$E42-Parametros!$B$2,0)))))))/1000)</f>
        <v/>
      </c>
      <c r="M42" s="6">
        <f>L42-O42/2000</f>
        <v/>
      </c>
      <c r="N42" s="6">
        <f>L42+O42/2000</f>
        <v/>
      </c>
      <c r="O42" s="5" t="n">
        <v>20</v>
      </c>
      <c r="P42" s="5" t="n">
        <v>1</v>
      </c>
      <c r="Q42" s="7" t="n"/>
      <c r="R42" s="7" t="n"/>
      <c r="S42" s="7" t="n"/>
      <c r="T42" s="12" t="n"/>
      <c r="U42" s="2" t="inlineStr"/>
      <c r="V42" s="10" t="inlineStr">
        <is>
          <t>Solo si queda tiempo. Portadora en 600 MHz, fase de la correccion de imagen en 35 grados. e y d apagados.</t>
        </is>
      </c>
      <c r="W42" s="11" t="n"/>
    </row>
    <row r="43" ht="30" customHeight="1">
      <c r="A43" s="2" t="n">
        <v>42</v>
      </c>
      <c r="B43" s="16" t="inlineStr">
        <is>
          <t>C</t>
        </is>
      </c>
      <c r="C43" s="4" t="inlineStr">
        <is>
          <t>Opcional: mismos e y d en 600 MHz</t>
        </is>
      </c>
      <c r="D43" s="5" t="n">
        <v>600</v>
      </c>
      <c r="E43" s="5" t="n">
        <v>200</v>
      </c>
      <c r="F43" s="5" t="n">
        <v>4</v>
      </c>
      <c r="G43" s="2" t="inlineStr">
        <is>
          <t>Enc</t>
        </is>
      </c>
      <c r="H43" s="2" t="inlineStr">
        <is>
          <t>Enc</t>
        </is>
      </c>
      <c r="I43" s="2" t="inlineStr">
        <is>
          <t>Enc</t>
        </is>
      </c>
      <c r="J43" s="2" t="inlineStr">
        <is>
          <t>Apag</t>
        </is>
      </c>
      <c r="K43" s="2" t="inlineStr">
        <is>
          <t>Replica fuga</t>
        </is>
      </c>
      <c r="L43" s="6">
        <f>IF($K43="Vista ancha",$D43+0.1,$D43+IF($K43="Fuga",0,IF($K43="Tono",$E43,IF($K43="Imagen",-$E43,IF($K43="Replica fuga",Parametros!$B$2,IF($K43="Replica tono",$E43+Parametros!$B$2,IF($K43="Gemela fuga",-Parametros!$B$2,IF($K43="Gemela tono",$E43-Parametros!$B$2,0)))))))/1000)</f>
        <v/>
      </c>
      <c r="M43" s="6">
        <f>L43-O43/2000</f>
        <v/>
      </c>
      <c r="N43" s="6">
        <f>L43+O43/2000</f>
        <v/>
      </c>
      <c r="O43" s="5" t="n">
        <v>20</v>
      </c>
      <c r="P43" s="5" t="n">
        <v>1</v>
      </c>
      <c r="Q43" s="15">
        <f>Busqueda!$B$26</f>
        <v/>
      </c>
      <c r="R43" s="15">
        <f>Busqueda!$B$25</f>
        <v/>
      </c>
      <c r="S43" s="7" t="n"/>
      <c r="T43" s="12" t="n"/>
      <c r="U43" s="2" t="inlineStr"/>
      <c r="V43" s="10" t="inlineStr">
        <is>
          <t>Encender e con los mismos valores de 400 MHz.</t>
        </is>
      </c>
      <c r="W43" s="11" t="n"/>
    </row>
    <row r="44" ht="30" customHeight="1">
      <c r="A44" s="2" t="n">
        <v>43</v>
      </c>
      <c r="B44" s="16" t="inlineStr">
        <is>
          <t>C</t>
        </is>
      </c>
      <c r="C44" s="4" t="inlineStr">
        <is>
          <t>Opcional: mismos e y d en 600 MHz</t>
        </is>
      </c>
      <c r="D44" s="5" t="n">
        <v>600</v>
      </c>
      <c r="E44" s="5" t="n">
        <v>200</v>
      </c>
      <c r="F44" s="5" t="n">
        <v>4</v>
      </c>
      <c r="G44" s="2" t="inlineStr">
        <is>
          <t>Enc</t>
        </is>
      </c>
      <c r="H44" s="2" t="inlineStr">
        <is>
          <t>Enc</t>
        </is>
      </c>
      <c r="I44" s="2" t="inlineStr">
        <is>
          <t>Enc</t>
        </is>
      </c>
      <c r="J44" s="2" t="inlineStr">
        <is>
          <t>Apag</t>
        </is>
      </c>
      <c r="K44" s="2" t="inlineStr">
        <is>
          <t>Replica tono</t>
        </is>
      </c>
      <c r="L44" s="6">
        <f>IF($K44="Vista ancha",$D44+0.1,$D44+IF($K44="Fuga",0,IF($K44="Tono",$E44,IF($K44="Imagen",-$E44,IF($K44="Replica fuga",Parametros!$B$2,IF($K44="Replica tono",$E44+Parametros!$B$2,IF($K44="Gemela fuga",-Parametros!$B$2,IF($K44="Gemela tono",$E44-Parametros!$B$2,0)))))))/1000)</f>
        <v/>
      </c>
      <c r="M44" s="6">
        <f>L44-O44/2000</f>
        <v/>
      </c>
      <c r="N44" s="6">
        <f>L44+O44/2000</f>
        <v/>
      </c>
      <c r="O44" s="5" t="n">
        <v>20</v>
      </c>
      <c r="P44" s="5" t="n">
        <v>1</v>
      </c>
      <c r="Q44" s="7" t="n"/>
      <c r="R44" s="7" t="n"/>
      <c r="S44" s="7" t="n"/>
      <c r="T44" s="12" t="n"/>
      <c r="U44" s="2" t="inlineStr"/>
      <c r="V44" s="4" t="inlineStr"/>
      <c r="W44" s="11" t="n"/>
    </row>
    <row r="45" ht="30" customHeight="1">
      <c r="A45" s="2" t="n">
        <v>44</v>
      </c>
      <c r="B45" s="16" t="inlineStr">
        <is>
          <t>C</t>
        </is>
      </c>
      <c r="C45" s="4" t="inlineStr">
        <is>
          <t>Opcional: mismos e y d en 600 MHz</t>
        </is>
      </c>
      <c r="D45" s="5" t="n">
        <v>600</v>
      </c>
      <c r="E45" s="5" t="n">
        <v>200</v>
      </c>
      <c r="F45" s="5" t="n">
        <v>4</v>
      </c>
      <c r="G45" s="2" t="inlineStr">
        <is>
          <t>Enc</t>
        </is>
      </c>
      <c r="H45" s="2" t="inlineStr">
        <is>
          <t>Enc</t>
        </is>
      </c>
      <c r="I45" s="2" t="inlineStr">
        <is>
          <t>Enc</t>
        </is>
      </c>
      <c r="J45" s="2" t="inlineStr">
        <is>
          <t>Enc</t>
        </is>
      </c>
      <c r="K45" s="2" t="inlineStr">
        <is>
          <t>Replica tono</t>
        </is>
      </c>
      <c r="L45" s="6">
        <f>IF($K45="Vista ancha",$D45+0.1,$D45+IF($K45="Fuga",0,IF($K45="Tono",$E45,IF($K45="Imagen",-$E45,IF($K45="Replica fuga",Parametros!$B$2,IF($K45="Replica tono",$E45+Parametros!$B$2,IF($K45="Gemela fuga",-Parametros!$B$2,IF($K45="Gemela tono",$E45-Parametros!$B$2,0)))))))/1000)</f>
        <v/>
      </c>
      <c r="M45" s="6">
        <f>L45-O45/2000</f>
        <v/>
      </c>
      <c r="N45" s="6">
        <f>L45+O45/2000</f>
        <v/>
      </c>
      <c r="O45" s="5" t="n">
        <v>20</v>
      </c>
      <c r="P45" s="5" t="n">
        <v>1</v>
      </c>
      <c r="Q45" s="15">
        <f>Busqueda!$B$41</f>
        <v/>
      </c>
      <c r="R45" s="15">
        <f>Busqueda!$B$40</f>
        <v/>
      </c>
      <c r="S45" s="7" t="n"/>
      <c r="T45" s="12" t="n"/>
      <c r="U45" s="2" t="inlineStr"/>
      <c r="V45" s="10" t="inlineStr">
        <is>
          <t>Encender d con los mismos valores de 400 MHz.</t>
        </is>
      </c>
      <c r="W45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60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 donde sale</t>
        </is>
      </c>
    </row>
    <row r="2">
      <c r="A2" s="4" t="inlineStr">
        <is>
          <t>Corrimiento de la espuria usado en las formulas (kHz)</t>
        </is>
      </c>
      <c r="B2" s="17">
        <f>IF(B3="",-937.2,B3)</f>
        <v/>
      </c>
      <c r="C2" s="18" t="inlineStr">
        <is>
          <t>Si todavia no se midio con precision, usa -937,2 kHz (EXP-08)</t>
        </is>
      </c>
    </row>
    <row r="3">
      <c r="A3" s="4" t="inlineStr">
        <is>
          <t>Corrimiento medido con precision, 2 MSPS (kHz)</t>
        </is>
      </c>
      <c r="B3" s="17">
        <f>IF(OR(Datos!$S$9="",Datos!$S$10=""),"",(Datos!$S$10-Datos!$S$9)*1000)</f>
        <v/>
      </c>
      <c r="C3" s="18" t="inlineStr">
        <is>
          <t>Ordenes 8 y 9 de Datos</t>
        </is>
      </c>
    </row>
    <row r="4">
      <c r="A4" s="4" t="inlineStr">
        <is>
          <t>Corrimiento medido con precision, 4 MSPS (kHz)</t>
        </is>
      </c>
      <c r="B4" s="17">
        <f>IF(OR(Datos!$S$27="",Datos!$S$28=""),"",(Datos!$S$28-Datos!$S$27)*1000)</f>
        <v/>
      </c>
      <c r="C4" s="18" t="inlineStr">
        <is>
          <t>Ordenes 26 y 27 de Datos</t>
        </is>
      </c>
    </row>
    <row r="5">
      <c r="A5" s="4" t="inlineStr">
        <is>
          <t>Diferencia 4 MSPS menos 2 MSPS (Hz)</t>
        </is>
      </c>
      <c r="B5" s="17">
        <f>IF(OR(B3="",B4=""),"",(B4-B3)*1000)</f>
        <v/>
      </c>
      <c r="C5" s="18" t="inlineStr">
        <is>
          <t>Mas de 50 Hz: la espuria sale del reloj de muestras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70" customWidth="1" min="3" max="3"/>
  </cols>
  <sheetData>
    <row r="1">
      <c r="A1" s="19" t="inlineStr">
        <is>
          <t>Ejemplo: imagen del EXP-09 (lecturas tomadas del ajuste de las 13 fases, no medidas asi)</t>
        </is>
      </c>
      <c r="B1" s="20" t="n"/>
      <c r="C1" s="21" t="n"/>
    </row>
    <row r="2">
      <c r="A2" s="4" t="inlineStr">
        <is>
          <t>Nivel de la linea con la correccion apagada (dBm)</t>
        </is>
      </c>
      <c r="B2" s="12" t="n">
        <v>-75.8</v>
      </c>
      <c r="C2" s="18" t="inlineStr">
        <is>
          <t>Imagen sin correccion medida en el EXP-09</t>
        </is>
      </c>
    </row>
    <row r="3">
      <c r="A3" s="4" t="inlineStr">
        <is>
          <t>Nivel de correccion usado en las tres lecturas (dB)</t>
        </is>
      </c>
      <c r="B3" s="12" t="n">
        <v>-34</v>
      </c>
      <c r="C3" s="18" t="inlineStr">
        <is>
          <t>El que queda puesto en el flujo durante las tres lecturas</t>
        </is>
      </c>
    </row>
    <row r="4">
      <c r="A4" s="4" t="inlineStr">
        <is>
          <t>Fase de arranque (grados)</t>
        </is>
      </c>
      <c r="B4" s="12" t="n">
        <v>0</v>
      </c>
      <c r="C4" s="18" t="inlineStr">
        <is>
          <t>Si alguna lectura queda cerca del piso, arrancar en 60 y repetir</t>
        </is>
      </c>
    </row>
    <row r="5">
      <c r="A5" s="4" t="inlineStr">
        <is>
          <t>Lectura 1, fase = arranque (dBm)</t>
        </is>
      </c>
      <c r="B5" s="12" t="n">
        <v>-86.8</v>
      </c>
      <c r="C5" s="18" t="inlineStr">
        <is>
          <t>Con promediado 16</t>
        </is>
      </c>
    </row>
    <row r="6">
      <c r="A6" s="4" t="inlineStr">
        <is>
          <t>Fase de la lectura 2 (grados)</t>
        </is>
      </c>
      <c r="B6" s="15">
        <f>MOD(B4+120+180,360)-180</f>
        <v/>
      </c>
      <c r="C6" s="18" t="inlineStr"/>
    </row>
    <row r="7">
      <c r="A7" s="4" t="inlineStr">
        <is>
          <t>Lectura 2 (dBm)</t>
        </is>
      </c>
      <c r="B7" s="12" t="n">
        <v>-70.8</v>
      </c>
      <c r="C7" s="18" t="inlineStr"/>
    </row>
    <row r="8">
      <c r="A8" s="4" t="inlineStr">
        <is>
          <t>Fase de la lectura 3 (grados)</t>
        </is>
      </c>
      <c r="B8" s="15">
        <f>MOD(B4+240+180,360)-180</f>
        <v/>
      </c>
      <c r="C8" s="18" t="inlineStr"/>
    </row>
    <row r="9">
      <c r="A9" s="4" t="inlineStr">
        <is>
          <t>Lectura 3 (dBm)</t>
        </is>
      </c>
      <c r="B9" s="12" t="n">
        <v>-69.7</v>
      </c>
      <c r="C9" s="18" t="inlineStr"/>
    </row>
    <row r="10">
      <c r="A10" s="22" t="inlineStr">
        <is>
          <t>Fase optima (grados)</t>
        </is>
      </c>
      <c r="B10" s="23">
        <f>IF(AND(B2&lt;&gt;"",B5&lt;&gt;"",B7&lt;&gt;"",B9&lt;&gt;""),MOD(DEGREES(ATAN2((2/3)*(10^(B5/10)-0.5*10^(B7/10)-0.5*10^(B9/10)),((10^(B7/10))-(10^(B9/10)))/SQRT(3)))+B4+360,360)-180,"")</f>
        <v/>
      </c>
      <c r="C10" s="18" t="inlineStr">
        <is>
          <t>Punto opuesto al maximo de la suma</t>
        </is>
      </c>
    </row>
    <row r="11">
      <c r="A11" s="22" t="inlineStr">
        <is>
          <t>Nivel optimo (dB)</t>
        </is>
      </c>
      <c r="B11" s="23">
        <f>IF(AND(B2&lt;&gt;"",B5&lt;&gt;"",B7&lt;&gt;"",B9&lt;&gt;""),IF((((10^(B5/10))+(10^(B7/10))+(10^(B9/10)))/3-10^(B2/10))&lt;=0,"",B3+10*LOG10(10^(B2/10)/(((10^(B5/10))+(10^(B7/10))+(10^(B9/10)))/3-10^(B2/10)))),"")</f>
        <v/>
      </c>
      <c r="C11" s="18" t="inlineStr">
        <is>
          <t>Nivel usado mas lo que falta para igualar a la linea</t>
        </is>
      </c>
    </row>
    <row r="12">
      <c r="A12" s="22" t="inlineStr">
        <is>
          <t>Control de calidad (ideal 1)</t>
        </is>
      </c>
      <c r="B12" s="24">
        <f>IF(AND(B2&lt;&gt;"",B5&lt;&gt;"",B7&lt;&gt;"",B9&lt;&gt;""),IF((((10^(B5/10))+(10^(B7/10))+(10^(B9/10)))/3-10^(B2/10))&lt;=0,"",SQRT(((2/3)*(10^(B5/10)-0.5*10^(B7/10)-0.5*10^(B9/10)))^2+(((10^(B7/10))-(10^(B9/10)))/SQRT(3))^2)/(2*SQRT(10^(B2/10)*(((10^(B5/10))+(10^(B7/10))+(10^(B9/10)))/3-10^(B2/10))))),"")</f>
        <v/>
      </c>
      <c r="C12" s="18" t="inlineStr">
        <is>
          <t>Entre 0,8 y 1,2: lecturas coherentes. Fuera de eso, repetir con mas promediado</t>
        </is>
      </c>
    </row>
    <row r="13">
      <c r="A13" s="22" t="inlineStr">
        <is>
          <t>Estado</t>
        </is>
      </c>
      <c r="B13" s="23">
        <f>IF(NOT(AND(B2&lt;&gt;"",B5&lt;&gt;"",B7&lt;&gt;"",B9&lt;&gt;"")),"Faltan lecturas",IF((((10^(B5/10))+(10^(B7/10))+(10^(B9/10)))/3-10^(B2/10))&lt;=0,"Revisar: la correccion no suma nada, subir su nivel 10 dB",IF(ABS(B12-1)&gt;0.2,"Lecturas poco coherentes: repetir","OK")))</f>
        <v/>
      </c>
      <c r="C13" s="18" t="inlineStr"/>
    </row>
    <row r="14"/>
    <row r="15"/>
    <row r="16">
      <c r="A16" s="19" t="inlineStr">
        <is>
          <t>e: cancelacion de la replica de la fuga (4 MSPS)</t>
        </is>
      </c>
      <c r="B16" s="20" t="n"/>
      <c r="C16" s="21" t="n"/>
    </row>
    <row r="17">
      <c r="A17" s="4" t="inlineStr">
        <is>
          <t>Nivel de la linea con la correccion apagada (dBm)</t>
        </is>
      </c>
      <c r="B17" s="15">
        <f>IF(Datos!$T$29="","",Datos!$T$29)</f>
        <v/>
      </c>
      <c r="C17" s="18" t="inlineStr">
        <is>
          <t>Se toma sola del orden 28 de Datos</t>
        </is>
      </c>
    </row>
    <row r="18">
      <c r="A18" s="4" t="inlineStr">
        <is>
          <t>Nivel de correccion usado en las tres lecturas (dB)</t>
        </is>
      </c>
      <c r="B18" s="12" t="n">
        <v>-59</v>
      </c>
      <c r="C18" s="18" t="inlineStr">
        <is>
          <t>El que queda puesto en el flujo durante las tres lecturas</t>
        </is>
      </c>
    </row>
    <row r="19">
      <c r="A19" s="4" t="inlineStr">
        <is>
          <t>Fase de arranque (grados)</t>
        </is>
      </c>
      <c r="B19" s="12" t="n">
        <v>0</v>
      </c>
      <c r="C19" s="18" t="inlineStr">
        <is>
          <t>Si alguna lectura queda cerca del piso, arrancar en 60 y repetir</t>
        </is>
      </c>
    </row>
    <row r="20">
      <c r="A20" s="4" t="inlineStr">
        <is>
          <t>Lectura 1, fase = arranque (dBm)</t>
        </is>
      </c>
      <c r="B20" s="25" t="n"/>
      <c r="C20" s="18" t="inlineStr">
        <is>
          <t>Con promediado 16</t>
        </is>
      </c>
    </row>
    <row r="21">
      <c r="A21" s="4" t="inlineStr">
        <is>
          <t>Fase de la lectura 2 (grados)</t>
        </is>
      </c>
      <c r="B21" s="15">
        <f>MOD(B19+120+180,360)-180</f>
        <v/>
      </c>
      <c r="C21" s="18" t="inlineStr"/>
    </row>
    <row r="22">
      <c r="A22" s="4" t="inlineStr">
        <is>
          <t>Lectura 2 (dBm)</t>
        </is>
      </c>
      <c r="B22" s="25" t="n"/>
      <c r="C22" s="18" t="inlineStr"/>
    </row>
    <row r="23">
      <c r="A23" s="4" t="inlineStr">
        <is>
          <t>Fase de la lectura 3 (grados)</t>
        </is>
      </c>
      <c r="B23" s="15">
        <f>MOD(B19+240+180,360)-180</f>
        <v/>
      </c>
      <c r="C23" s="18" t="inlineStr"/>
    </row>
    <row r="24">
      <c r="A24" s="4" t="inlineStr">
        <is>
          <t>Lectura 3 (dBm)</t>
        </is>
      </c>
      <c r="B24" s="25" t="n"/>
      <c r="C24" s="18" t="inlineStr"/>
    </row>
    <row r="25">
      <c r="A25" s="22" t="inlineStr">
        <is>
          <t>Fase optima (grados)</t>
        </is>
      </c>
      <c r="B25" s="23">
        <f>IF(AND(B17&lt;&gt;"",B20&lt;&gt;"",B22&lt;&gt;"",B24&lt;&gt;""),MOD(DEGREES(ATAN2((2/3)*(10^(B20/10)-0.5*10^(B22/10)-0.5*10^(B24/10)),((10^(B22/10))-(10^(B24/10)))/SQRT(3)))+B19+360,360)-180,"")</f>
        <v/>
      </c>
      <c r="C25" s="18" t="inlineStr">
        <is>
          <t>Punto opuesto al maximo de la suma</t>
        </is>
      </c>
    </row>
    <row r="26">
      <c r="A26" s="22" t="inlineStr">
        <is>
          <t>Nivel optimo (dB)</t>
        </is>
      </c>
      <c r="B26" s="23">
        <f>IF(AND(B17&lt;&gt;"",B20&lt;&gt;"",B22&lt;&gt;"",B24&lt;&gt;""),IF((((10^(B20/10))+(10^(B22/10))+(10^(B24/10)))/3-10^(B17/10))&lt;=0,"",B18+10*LOG10(10^(B17/10)/(((10^(B20/10))+(10^(B22/10))+(10^(B24/10)))/3-10^(B17/10)))),"")</f>
        <v/>
      </c>
      <c r="C26" s="18" t="inlineStr">
        <is>
          <t>Nivel usado mas lo que falta para igualar a la linea</t>
        </is>
      </c>
    </row>
    <row r="27">
      <c r="A27" s="22" t="inlineStr">
        <is>
          <t>Control de calidad (ideal 1)</t>
        </is>
      </c>
      <c r="B27" s="24">
        <f>IF(AND(B17&lt;&gt;"",B20&lt;&gt;"",B22&lt;&gt;"",B24&lt;&gt;""),IF((((10^(B20/10))+(10^(B22/10))+(10^(B24/10)))/3-10^(B17/10))&lt;=0,"",SQRT(((2/3)*(10^(B20/10)-0.5*10^(B22/10)-0.5*10^(B24/10)))^2+(((10^(B22/10))-(10^(B24/10)))/SQRT(3))^2)/(2*SQRT(10^(B17/10)*(((10^(B20/10))+(10^(B22/10))+(10^(B24/10)))/3-10^(B17/10))))),"")</f>
        <v/>
      </c>
      <c r="C27" s="18" t="inlineStr">
        <is>
          <t>Entre 0,8 y 1,2: lecturas coherentes. Fuera de eso, repetir con mas promediado</t>
        </is>
      </c>
    </row>
    <row r="28">
      <c r="A28" s="22" t="inlineStr">
        <is>
          <t>Estado</t>
        </is>
      </c>
      <c r="B28" s="23">
        <f>IF(NOT(AND(B17&lt;&gt;"",B20&lt;&gt;"",B22&lt;&gt;"",B24&lt;&gt;"")),"Faltan lecturas",IF((((10^(B20/10))+(10^(B22/10))+(10^(B24/10)))/3-10^(B17/10))&lt;=0,"Revisar: la correccion no suma nada, subir su nivel 10 dB",IF(ABS(B27-1)&gt;0.2,"Lecturas poco coherentes: repetir","OK")))</f>
        <v/>
      </c>
      <c r="C28" s="18" t="inlineStr"/>
    </row>
    <row r="29"/>
    <row r="30"/>
    <row r="31">
      <c r="A31" s="19" t="inlineStr">
        <is>
          <t>d: cancelacion de la replica del tono (4 MSPS, con e aplicado)</t>
        </is>
      </c>
      <c r="B31" s="20" t="n"/>
      <c r="C31" s="21" t="n"/>
    </row>
    <row r="32">
      <c r="A32" s="4" t="inlineStr">
        <is>
          <t>Nivel de la linea con la correccion apagada (dBm)</t>
        </is>
      </c>
      <c r="B32" s="15">
        <f>IF(Datos!$T$32="","",Datos!$T$32)</f>
        <v/>
      </c>
      <c r="C32" s="18" t="inlineStr">
        <is>
          <t>Se toma sola del orden 31 de Datos</t>
        </is>
      </c>
    </row>
    <row r="33">
      <c r="A33" s="4" t="inlineStr">
        <is>
          <t>Nivel de correccion usado en las tres lecturas (dB)</t>
        </is>
      </c>
      <c r="B33" s="12" t="n">
        <v>-52</v>
      </c>
      <c r="C33" s="18" t="inlineStr">
        <is>
          <t>El que queda puesto en el flujo durante las tres lecturas</t>
        </is>
      </c>
    </row>
    <row r="34">
      <c r="A34" s="4" t="inlineStr">
        <is>
          <t>Fase de arranque (grados)</t>
        </is>
      </c>
      <c r="B34" s="12" t="n">
        <v>0</v>
      </c>
      <c r="C34" s="18" t="inlineStr">
        <is>
          <t>Si alguna lectura queda cerca del piso, arrancar en 60 y repetir</t>
        </is>
      </c>
    </row>
    <row r="35">
      <c r="A35" s="4" t="inlineStr">
        <is>
          <t>Lectura 1, fase = arranque (dBm)</t>
        </is>
      </c>
      <c r="B35" s="25" t="n"/>
      <c r="C35" s="18" t="inlineStr">
        <is>
          <t>Con promediado 16</t>
        </is>
      </c>
    </row>
    <row r="36">
      <c r="A36" s="4" t="inlineStr">
        <is>
          <t>Fase de la lectura 2 (grados)</t>
        </is>
      </c>
      <c r="B36" s="15">
        <f>MOD(B34+120+180,360)-180</f>
        <v/>
      </c>
      <c r="C36" s="18" t="inlineStr"/>
    </row>
    <row r="37">
      <c r="A37" s="4" t="inlineStr">
        <is>
          <t>Lectura 2 (dBm)</t>
        </is>
      </c>
      <c r="B37" s="25" t="n"/>
      <c r="C37" s="18" t="inlineStr"/>
    </row>
    <row r="38">
      <c r="A38" s="4" t="inlineStr">
        <is>
          <t>Fase de la lectura 3 (grados)</t>
        </is>
      </c>
      <c r="B38" s="15">
        <f>MOD(B34+240+180,360)-180</f>
        <v/>
      </c>
      <c r="C38" s="18" t="inlineStr"/>
    </row>
    <row r="39">
      <c r="A39" s="4" t="inlineStr">
        <is>
          <t>Lectura 3 (dBm)</t>
        </is>
      </c>
      <c r="B39" s="25" t="n"/>
      <c r="C39" s="18" t="inlineStr"/>
    </row>
    <row r="40">
      <c r="A40" s="22" t="inlineStr">
        <is>
          <t>Fase optima (grados)</t>
        </is>
      </c>
      <c r="B40" s="23">
        <f>IF(AND(B32&lt;&gt;"",B35&lt;&gt;"",B37&lt;&gt;"",B39&lt;&gt;""),MOD(DEGREES(ATAN2((2/3)*(10^(B35/10)-0.5*10^(B37/10)-0.5*10^(B39/10)),((10^(B37/10))-(10^(B39/10)))/SQRT(3)))+B34+360,360)-180,"")</f>
        <v/>
      </c>
      <c r="C40" s="18" t="inlineStr">
        <is>
          <t>Punto opuesto al maximo de la suma</t>
        </is>
      </c>
    </row>
    <row r="41">
      <c r="A41" s="22" t="inlineStr">
        <is>
          <t>Nivel optimo (dB)</t>
        </is>
      </c>
      <c r="B41" s="23">
        <f>IF(AND(B32&lt;&gt;"",B35&lt;&gt;"",B37&lt;&gt;"",B39&lt;&gt;""),IF((((10^(B35/10))+(10^(B37/10))+(10^(B39/10)))/3-10^(B32/10))&lt;=0,"",B33+10*LOG10(10^(B32/10)/(((10^(B35/10))+(10^(B37/10))+(10^(B39/10)))/3-10^(B32/10)))),"")</f>
        <v/>
      </c>
      <c r="C41" s="18" t="inlineStr">
        <is>
          <t>Nivel usado mas lo que falta para igualar a la linea</t>
        </is>
      </c>
    </row>
    <row r="42">
      <c r="A42" s="22" t="inlineStr">
        <is>
          <t>Control de calidad (ideal 1)</t>
        </is>
      </c>
      <c r="B42" s="24">
        <f>IF(AND(B32&lt;&gt;"",B35&lt;&gt;"",B37&lt;&gt;"",B39&lt;&gt;""),IF((((10^(B35/10))+(10^(B37/10))+(10^(B39/10)))/3-10^(B32/10))&lt;=0,"",SQRT(((2/3)*(10^(B35/10)-0.5*10^(B37/10)-0.5*10^(B39/10)))^2+(((10^(B37/10))-(10^(B39/10)))/SQRT(3))^2)/(2*SQRT(10^(B32/10)*(((10^(B35/10))+(10^(B37/10))+(10^(B39/10)))/3-10^(B32/10))))),"")</f>
        <v/>
      </c>
      <c r="C42" s="18" t="inlineStr">
        <is>
          <t>Entre 0,8 y 1,2: lecturas coherentes. Fuera de eso, repetir con mas promediado</t>
        </is>
      </c>
    </row>
    <row r="43">
      <c r="A43" s="22" t="inlineStr">
        <is>
          <t>Estado</t>
        </is>
      </c>
      <c r="B43" s="23">
        <f>IF(NOT(AND(B32&lt;&gt;"",B35&lt;&gt;"",B37&lt;&gt;"",B39&lt;&gt;"")),"Faltan lecturas",IF((((10^(B35/10))+(10^(B37/10))+(10^(B39/10)))/3-10^(B32/10))&lt;=0,"Revisar: la correccion no suma nada, subir su nivel 10 dB",IF(ABS(B42-1)&gt;0.2,"Lecturas poco coherentes: repetir","OK")))</f>
        <v/>
      </c>
      <c r="C43" s="18" t="inlineStr"/>
    </row>
    <row r="44"/>
    <row r="45"/>
    <row r="46">
      <c r="A46" s="19" t="inlineStr">
        <is>
          <t>Imagen: solo si hay que recalcular c con 4 MSPS</t>
        </is>
      </c>
      <c r="B46" s="20" t="n"/>
      <c r="C46" s="21" t="n"/>
    </row>
    <row r="47">
      <c r="A47" s="4" t="inlineStr">
        <is>
          <t>Nivel de la linea con la correccion apagada (dBm)</t>
        </is>
      </c>
      <c r="B47" s="25" t="n"/>
      <c r="C47" s="18" t="inlineStr">
        <is>
          <t>Imagen con la correccion apagada, 4 MSPS</t>
        </is>
      </c>
    </row>
    <row r="48">
      <c r="A48" s="4" t="inlineStr">
        <is>
          <t>Nivel de correccion usado en las tres lecturas (dB)</t>
        </is>
      </c>
      <c r="B48" s="12" t="n">
        <v>-34.5</v>
      </c>
      <c r="C48" s="18" t="inlineStr">
        <is>
          <t>El que queda puesto en el flujo durante las tres lecturas</t>
        </is>
      </c>
    </row>
    <row r="49">
      <c r="A49" s="4" t="inlineStr">
        <is>
          <t>Fase de arranque (grados)</t>
        </is>
      </c>
      <c r="B49" s="12" t="n">
        <v>0</v>
      </c>
      <c r="C49" s="18" t="inlineStr">
        <is>
          <t>Si alguna lectura queda cerca del piso, arrancar en 60 y repetir</t>
        </is>
      </c>
    </row>
    <row r="50">
      <c r="A50" s="4" t="inlineStr">
        <is>
          <t>Lectura 1, fase = arranque (dBm)</t>
        </is>
      </c>
      <c r="B50" s="25" t="n"/>
      <c r="C50" s="18" t="inlineStr">
        <is>
          <t>Con promediado 16</t>
        </is>
      </c>
    </row>
    <row r="51">
      <c r="A51" s="4" t="inlineStr">
        <is>
          <t>Fase de la lectura 2 (grados)</t>
        </is>
      </c>
      <c r="B51" s="15">
        <f>MOD(B49+120+180,360)-180</f>
        <v/>
      </c>
      <c r="C51" s="18" t="inlineStr"/>
    </row>
    <row r="52">
      <c r="A52" s="4" t="inlineStr">
        <is>
          <t>Lectura 2 (dBm)</t>
        </is>
      </c>
      <c r="B52" s="25" t="n"/>
      <c r="C52" s="18" t="inlineStr"/>
    </row>
    <row r="53">
      <c r="A53" s="4" t="inlineStr">
        <is>
          <t>Fase de la lectura 3 (grados)</t>
        </is>
      </c>
      <c r="B53" s="15">
        <f>MOD(B49+240+180,360)-180</f>
        <v/>
      </c>
      <c r="C53" s="18" t="inlineStr"/>
    </row>
    <row r="54">
      <c r="A54" s="4" t="inlineStr">
        <is>
          <t>Lectura 3 (dBm)</t>
        </is>
      </c>
      <c r="B54" s="25" t="n"/>
      <c r="C54" s="18" t="inlineStr"/>
    </row>
    <row r="55">
      <c r="A55" s="22" t="inlineStr">
        <is>
          <t>Fase optima (grados)</t>
        </is>
      </c>
      <c r="B55" s="23">
        <f>IF(AND(B47&lt;&gt;"",B50&lt;&gt;"",B52&lt;&gt;"",B54&lt;&gt;""),MOD(DEGREES(ATAN2((2/3)*(10^(B50/10)-0.5*10^(B52/10)-0.5*10^(B54/10)),((10^(B52/10))-(10^(B54/10)))/SQRT(3)))+B49+360,360)-180,"")</f>
        <v/>
      </c>
      <c r="C55" s="18" t="inlineStr">
        <is>
          <t>Punto opuesto al maximo de la suma</t>
        </is>
      </c>
    </row>
    <row r="56">
      <c r="A56" s="22" t="inlineStr">
        <is>
          <t>Nivel optimo (dB)</t>
        </is>
      </c>
      <c r="B56" s="23">
        <f>IF(AND(B47&lt;&gt;"",B50&lt;&gt;"",B52&lt;&gt;"",B54&lt;&gt;""),IF((((10^(B50/10))+(10^(B52/10))+(10^(B54/10)))/3-10^(B47/10))&lt;=0,"",B48+10*LOG10(10^(B47/10)/(((10^(B50/10))+(10^(B52/10))+(10^(B54/10)))/3-10^(B47/10)))),"")</f>
        <v/>
      </c>
      <c r="C56" s="18" t="inlineStr">
        <is>
          <t>Nivel usado mas lo que falta para igualar a la linea</t>
        </is>
      </c>
    </row>
    <row r="57">
      <c r="A57" s="22" t="inlineStr">
        <is>
          <t>Control de calidad (ideal 1)</t>
        </is>
      </c>
      <c r="B57" s="24">
        <f>IF(AND(B47&lt;&gt;"",B50&lt;&gt;"",B52&lt;&gt;"",B54&lt;&gt;""),IF((((10^(B50/10))+(10^(B52/10))+(10^(B54/10)))/3-10^(B47/10))&lt;=0,"",SQRT(((2/3)*(10^(B50/10)-0.5*10^(B52/10)-0.5*10^(B54/10)))^2+(((10^(B52/10))-(10^(B54/10)))/SQRT(3))^2)/(2*SQRT(10^(B47/10)*(((10^(B50/10))+(10^(B52/10))+(10^(B54/10)))/3-10^(B47/10))))),"")</f>
        <v/>
      </c>
      <c r="C57" s="18" t="inlineStr">
        <is>
          <t>Entre 0,8 y 1,2: lecturas coherentes. Fuera de eso, repetir con mas promediado</t>
        </is>
      </c>
    </row>
    <row r="58">
      <c r="A58" s="22" t="inlineStr">
        <is>
          <t>Estado</t>
        </is>
      </c>
      <c r="B58" s="23">
        <f>IF(NOT(AND(B47&lt;&gt;"",B50&lt;&gt;"",B52&lt;&gt;"",B54&lt;&gt;"")),"Faltan lecturas",IF((((10^(B50/10))+(10^(B52/10))+(10^(B54/10)))/3-10^(B47/10))&lt;=0,"Revisar: la correccion no suma nada, subir su nivel 10 dB",IF(ABS(B57-1)&gt;0.2,"Lecturas poco coherentes: repetir","OK")))</f>
        <v/>
      </c>
      <c r="C58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64" customWidth="1" min="3" max="3"/>
  </cols>
  <sheetData>
    <row r="1">
      <c r="A1" s="1" t="inlineStr">
        <is>
          <t>Resultado</t>
        </is>
      </c>
      <c r="B1" s="1" t="inlineStr">
        <is>
          <t>Valor</t>
        </is>
      </c>
      <c r="C1" s="1" t="inlineStr">
        <is>
          <t>Como leerlo</t>
        </is>
      </c>
    </row>
    <row r="2">
      <c r="A2" s="26" t="inlineStr">
        <is>
          <t>DIAGNOSTICO, 2 MSPS</t>
        </is>
      </c>
      <c r="B2" s="27" t="n"/>
      <c r="C2" s="27" t="n"/>
    </row>
    <row r="3">
      <c r="A3" s="4" t="inlineStr">
        <is>
          <t>Replica de la fuga respecto de la fuga (dBc)</t>
        </is>
      </c>
      <c r="B3" s="28">
        <f>IF(OR(Datos!$T$5="",Datos!$T$3=""),"",Datos!$T$5-Datos!$T$3)</f>
        <v/>
      </c>
      <c r="C3" s="18" t="inlineStr">
        <is>
          <t>EXP-08: unos -52 dBc</t>
        </is>
      </c>
    </row>
    <row r="4">
      <c r="A4" s="4" t="inlineStr">
        <is>
          <t>Replica del tono respecto del tono (dBc)</t>
        </is>
      </c>
      <c r="B4" s="28">
        <f>IF(OR(Datos!$T$6="",Datos!$T$4=""),"",Datos!$T$6-Datos!$T$4)</f>
        <v/>
      </c>
      <c r="C4" s="18" t="inlineStr">
        <is>
          <t>Igual a la anterior: la espuria es una linea del oscilador local</t>
        </is>
      </c>
    </row>
    <row r="5">
      <c r="A5" s="4" t="inlineStr">
        <is>
          <t>Gemela de la fuga respecto de la fuga (dBc)</t>
        </is>
      </c>
      <c r="B5" s="28">
        <f>IF(OR(Datos!$T$7="",Datos!$T$3=""),"",Datos!$T$7-Datos!$T$3)</f>
        <v/>
      </c>
      <c r="C5" s="18" t="inlineStr">
        <is>
          <t>Si existe: modulacion simetrica, probable fuente conmutada</t>
        </is>
      </c>
    </row>
    <row r="6">
      <c r="A6" s="4" t="inlineStr">
        <is>
          <t>Gemela del tono respecto del tono (dBc)</t>
        </is>
      </c>
      <c r="B6" s="28">
        <f>IF(OR(Datos!$T$8="",Datos!$T$4=""),"",Datos!$T$8-Datos!$T$4)</f>
        <v/>
      </c>
      <c r="C6" s="18" t="inlineStr"/>
    </row>
    <row r="7">
      <c r="A7" s="4" t="inlineStr">
        <is>
          <t>Replica de la fuga: tono apagado menos encendido (dB)</t>
        </is>
      </c>
      <c r="B7" s="28">
        <f>IF(OR(Datos!$T$11="",Datos!$T$5=""),"",Datos!$T$11-Datos!$T$5)</f>
        <v/>
      </c>
      <c r="C7" s="18" t="inlineStr">
        <is>
          <t>Cerca de 0: no depende del tono</t>
        </is>
      </c>
    </row>
    <row r="8">
      <c r="A8" s="4" t="inlineStr">
        <is>
          <t>Replica del tono con el tono apagado (dBm)</t>
        </is>
      </c>
      <c r="B8" s="28">
        <f>IF(Datos!$T$12="","",Datos!$T$12)</f>
        <v/>
      </c>
      <c r="C8" s="18" t="inlineStr">
        <is>
          <t>Deberia ser el piso</t>
        </is>
      </c>
    </row>
    <row r="9">
      <c r="A9" s="4" t="inlineStr">
        <is>
          <t>Tono: correccion de imagen encendida menos apagada (dB)</t>
        </is>
      </c>
      <c r="B9" s="28">
        <f>IF(COUNT(Datos!$T$4,Datos!$T$14,Datos!$T$13,Datos!$T$15)&lt;4,"",AVERAGE(Datos!$T$13,Datos!$T$15)-AVERAGE(Datos!$T$4,Datos!$T$14))</f>
        <v/>
      </c>
      <c r="C9" s="18" t="inlineStr">
        <is>
          <t>Prediccion: 0,00 dB. Menos de 0,1 dB confirma que la correccion no toca el tono</t>
        </is>
      </c>
    </row>
    <row r="10">
      <c r="A10" s="4" t="inlineStr">
        <is>
          <t>Replica de la fuga: con correccion de imagen menos sin (dB)</t>
        </is>
      </c>
      <c r="B10" s="28">
        <f>IF(OR(Datos!$T$16="",Datos!$T$5=""),"",Datos!$T$16-Datos!$T$5)</f>
        <v/>
      </c>
      <c r="C10" s="18" t="inlineStr">
        <is>
          <t>Prediccion: 0</t>
        </is>
      </c>
    </row>
    <row r="11">
      <c r="A11" s="4" t="inlineStr">
        <is>
          <t>Replica del tono: con correccion de imagen menos sin (dB)</t>
        </is>
      </c>
      <c r="B11" s="28">
        <f>IF(OR(Datos!$T$17="",Datos!$T$6=""),"",Datos!$T$17-Datos!$T$6)</f>
        <v/>
      </c>
      <c r="C11" s="18" t="inlineStr">
        <is>
          <t>Prediccion: 0</t>
        </is>
      </c>
    </row>
    <row r="12">
      <c r="A12" s="4" t="inlineStr">
        <is>
          <t>Corrimiento exacto con 2 MSPS (kHz)</t>
        </is>
      </c>
      <c r="B12" s="28">
        <f>Parametros!B3</f>
        <v/>
      </c>
      <c r="C12" s="18" t="inlineStr"/>
    </row>
    <row r="13">
      <c r="A13" s="26" t="inlineStr">
        <is>
          <t>DIAGNOSTICO, 4 MSPS</t>
        </is>
      </c>
      <c r="B13" s="27" t="n"/>
      <c r="C13" s="27" t="n"/>
    </row>
    <row r="14">
      <c r="A14" s="4" t="inlineStr">
        <is>
          <t>Corrimiento exacto con 4 MSPS (kHz)</t>
        </is>
      </c>
      <c r="B14" s="28">
        <f>Parametros!B4</f>
        <v/>
      </c>
      <c r="C14" s="18" t="inlineStr"/>
    </row>
    <row r="15">
      <c r="A15" s="4" t="inlineStr">
        <is>
          <t>Diferencia de corrimiento 4 menos 2 MSPS (Hz)</t>
        </is>
      </c>
      <c r="B15" s="28">
        <f>Parametros!B5</f>
        <v/>
      </c>
      <c r="C15" s="18" t="inlineStr">
        <is>
          <t>Mas de 50 Hz: sale del reloj de muestras</t>
        </is>
      </c>
    </row>
    <row r="16">
      <c r="A16" s="4" t="inlineStr">
        <is>
          <t>Fuga: 4 MSPS menos 2 MSPS (dB)</t>
        </is>
      </c>
      <c r="B16" s="28">
        <f>IF(OR(Datos!$T$20="",Datos!$T$3=""),"",Datos!$T$20-Datos!$T$3)</f>
        <v/>
      </c>
      <c r="C16" s="18" t="inlineStr"/>
    </row>
    <row r="17">
      <c r="A17" s="4" t="inlineStr">
        <is>
          <t>Rechazo de imagen corregido con 4 MSPS (dB)</t>
        </is>
      </c>
      <c r="B17" s="28">
        <f>IF(OR(Datos!$T$21="",Datos!$T$22=""),"",Datos!$T$21-Datos!$T$22)</f>
        <v/>
      </c>
      <c r="C17" s="18" t="inlineStr">
        <is>
          <t>EXP-09 con 2 MSPS: unos 52 dB</t>
        </is>
      </c>
    </row>
    <row r="18">
      <c r="A18" s="4" t="inlineStr">
        <is>
          <t>Replica de la fuga con 4 MSPS (dBc)</t>
        </is>
      </c>
      <c r="B18" s="28">
        <f>IF(OR(Datos!$T$23="",Datos!$T$20=""),"",Datos!$T$23-Datos!$T$20)</f>
        <v/>
      </c>
      <c r="C18" s="18" t="inlineStr"/>
    </row>
    <row r="19">
      <c r="A19" s="4" t="inlineStr">
        <is>
          <t>Replica del tono con 4 MSPS (dBc)</t>
        </is>
      </c>
      <c r="B19" s="28">
        <f>IF(OR(Datos!$T$24="",Datos!$T$21=""),"",Datos!$T$24-Datos!$T$21)</f>
        <v/>
      </c>
      <c r="C19" s="18" t="inlineStr"/>
    </row>
    <row r="20">
      <c r="A20" s="26" t="inlineStr">
        <is>
          <t>CANCELACION, 4 MSPS</t>
        </is>
      </c>
      <c r="B20" s="27" t="n"/>
      <c r="C20" s="27" t="n"/>
    </row>
    <row r="21">
      <c r="A21" s="4" t="inlineStr">
        <is>
          <t>Mejora en la replica de la fuga (dB)</t>
        </is>
      </c>
      <c r="B21" s="28">
        <f>IF(OR(Datos!$T$29="",Datos!$T$31=""),"",Datos!$T$29-Datos!$T$31)</f>
        <v/>
      </c>
      <c r="C21" s="18" t="inlineStr">
        <is>
          <t>15 dB o mas: eliminada en forma eficaz</t>
        </is>
      </c>
    </row>
    <row r="22">
      <c r="A22" s="4" t="inlineStr">
        <is>
          <t>Mejora en la replica del tono (dB)</t>
        </is>
      </c>
      <c r="B22" s="28">
        <f>IF(OR(Datos!$T$32="",Datos!$T$33=""),"",Datos!$T$32-Datos!$T$33)</f>
        <v/>
      </c>
      <c r="C22" s="18" t="inlineStr">
        <is>
          <t>15 dB o mas: eliminada en forma eficaz</t>
        </is>
      </c>
    </row>
    <row r="23">
      <c r="A23" s="4" t="inlineStr">
        <is>
          <t>Gemela de la fuga: despues menos antes (dB)</t>
        </is>
      </c>
      <c r="B23" s="28">
        <f>IF(OR(Datos!$T$34="",Datos!$T$25=""),"",Datos!$T$34-Datos!$T$25)</f>
        <v/>
      </c>
      <c r="C23" s="18" t="inlineStr">
        <is>
          <t>Cerca de 0: la cancelacion no crea nada del otro lado</t>
        </is>
      </c>
    </row>
    <row r="24">
      <c r="A24" s="4" t="inlineStr">
        <is>
          <t>Gemela del tono: despues menos antes (dB)</t>
        </is>
      </c>
      <c r="B24" s="28">
        <f>IF(OR(Datos!$T$35="",Datos!$T$26=""),"",Datos!$T$35-Datos!$T$26)</f>
        <v/>
      </c>
      <c r="C24" s="18" t="inlineStr">
        <is>
          <t>Cerca de 0: idem</t>
        </is>
      </c>
    </row>
    <row r="25">
      <c r="A25" s="4" t="inlineStr">
        <is>
          <t>Tono: todo encendido menos solo imagen (dB)</t>
        </is>
      </c>
      <c r="B25" s="28">
        <f>IF(OR(Datos!$T$36="",Datos!$T$21=""),"",Datos!$T$36-Datos!$T$21)</f>
        <v/>
      </c>
      <c r="C25" s="18" t="inlineStr">
        <is>
          <t>Deberia quedar dentro de 0,1 dB</t>
        </is>
      </c>
    </row>
    <row r="26">
      <c r="A26" s="4" t="inlineStr">
        <is>
          <t>Fuga: todo encendido menos solo imagen (dB)</t>
        </is>
      </c>
      <c r="B26" s="28">
        <f>IF(OR(Datos!$T$37="",Datos!$T$20=""),"",Datos!$T$37-Datos!$T$20)</f>
        <v/>
      </c>
      <c r="C26" s="18" t="inlineStr">
        <is>
          <t>Deberia quedar dentro de 0,1 dB</t>
        </is>
      </c>
    </row>
    <row r="27">
      <c r="A27" s="4" t="inlineStr">
        <is>
          <t>Deriva del nulo de la replica de la fuga (dB)</t>
        </is>
      </c>
      <c r="B27" s="28">
        <f>IF(OR(Datos!$T$40="",Datos!$T$31=""),"",Datos!$T$40-Datos!$T$31)</f>
        <v/>
      </c>
      <c r="C27" s="18" t="inlineStr">
        <is>
          <t>Mas de 6 dB: el nulo no es estable</t>
        </is>
      </c>
    </row>
    <row r="28">
      <c r="A28" s="4" t="inlineStr">
        <is>
          <t>Deriva del nulo de la replica del tono (dB)</t>
        </is>
      </c>
      <c r="B28" s="28">
        <f>IF(OR(Datos!$T$41="",Datos!$T$33=""),"",Datos!$T$41-Datos!$T$33)</f>
        <v/>
      </c>
      <c r="C28" s="18" t="inlineStr"/>
    </row>
    <row r="29">
      <c r="A29" s="26" t="inlineStr">
        <is>
          <t>OPCIONAL, 600 MHz CON LOS MISMOS e Y d</t>
        </is>
      </c>
      <c r="B29" s="27" t="n"/>
      <c r="C29" s="27" t="n"/>
    </row>
    <row r="30">
      <c r="A30" s="4" t="inlineStr">
        <is>
          <t>Mejora en la replica de la fuga (dB)</t>
        </is>
      </c>
      <c r="B30" s="28">
        <f>IF(OR(Datos!$T$42="",Datos!$T$43=""),"",Datos!$T$42-Datos!$T$43)</f>
        <v/>
      </c>
      <c r="C30" s="18" t="inlineStr">
        <is>
          <t>Si es mucho menor que en 400 MHz, hace falta un e por portadora</t>
        </is>
      </c>
    </row>
    <row r="31">
      <c r="A31" s="4" t="inlineStr">
        <is>
          <t>Mejora en la replica del tono (dB)</t>
        </is>
      </c>
      <c r="B31" s="28">
        <f>IF(OR(Datos!$T$44="",Datos!$T$45=""),"",Datos!$T$44-Datos!$T$45)</f>
        <v/>
      </c>
      <c r="C31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2026-09-27T01:57:05Z</dcterms:created>
  <dcterms:modified xmlns:dcterms="http://purl.org/dc/terms/" xmlns:xsi="http://www.w3.org/2001/XMLSchema-instance" xsi:type="dcterms:W3CDTF">2026-09-27T01:57:05Z</dcterms:modified>
</cp:coreProperties>
</file>