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s\FIUBA\6to año\Compatibilidad Electromagnética\SDR\"/>
    </mc:Choice>
  </mc:AlternateContent>
  <xr:revisionPtr revIDLastSave="0" documentId="13_ncr:1_{AC0038C3-0089-42BD-8CD5-4A824E617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Resumen" sheetId="2" r:id="rId2"/>
  </sheets>
  <definedNames>
    <definedName name="_xlnm._FilterDatabase" localSheetId="0" hidden="1">Datos!$A$1:$Y$19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H8" i="2"/>
  <c r="G8" i="2"/>
  <c r="E8" i="2"/>
  <c r="D8" i="2"/>
  <c r="I7" i="2"/>
  <c r="H7" i="2"/>
  <c r="G7" i="2"/>
  <c r="E7" i="2"/>
  <c r="D7" i="2"/>
  <c r="I6" i="2"/>
  <c r="H6" i="2"/>
  <c r="G6" i="2"/>
  <c r="E6" i="2"/>
  <c r="D6" i="2"/>
  <c r="I5" i="2"/>
  <c r="H5" i="2"/>
  <c r="G5" i="2"/>
  <c r="E5" i="2"/>
  <c r="D5" i="2"/>
  <c r="U19" i="1"/>
  <c r="D11" i="2" s="1"/>
  <c r="S19" i="1"/>
  <c r="R19" i="1"/>
  <c r="Q19" i="1"/>
  <c r="P19" i="1"/>
  <c r="N19" i="1"/>
  <c r="L19" i="1"/>
  <c r="J19" i="1"/>
  <c r="H19" i="1"/>
  <c r="S18" i="1"/>
  <c r="R18" i="1"/>
  <c r="Q18" i="1"/>
  <c r="P18" i="1"/>
  <c r="N18" i="1"/>
  <c r="L18" i="1"/>
  <c r="J18" i="1"/>
  <c r="H18" i="1"/>
  <c r="S17" i="1"/>
  <c r="R17" i="1"/>
  <c r="Q17" i="1"/>
  <c r="P17" i="1"/>
  <c r="N17" i="1"/>
  <c r="L17" i="1"/>
  <c r="J17" i="1"/>
  <c r="H17" i="1"/>
  <c r="S16" i="1"/>
  <c r="R16" i="1"/>
  <c r="Q16" i="1"/>
  <c r="P16" i="1"/>
  <c r="N16" i="1"/>
  <c r="L16" i="1"/>
  <c r="J16" i="1"/>
  <c r="H16" i="1"/>
  <c r="S15" i="1"/>
  <c r="R15" i="1"/>
  <c r="Q15" i="1"/>
  <c r="P15" i="1"/>
  <c r="N15" i="1"/>
  <c r="L15" i="1"/>
  <c r="J15" i="1"/>
  <c r="H15" i="1"/>
  <c r="S14" i="1"/>
  <c r="R14" i="1"/>
  <c r="Q14" i="1"/>
  <c r="P14" i="1"/>
  <c r="N14" i="1"/>
  <c r="L14" i="1"/>
  <c r="J14" i="1"/>
  <c r="H14" i="1"/>
  <c r="S13" i="1"/>
  <c r="R13" i="1"/>
  <c r="Q13" i="1"/>
  <c r="P13" i="1"/>
  <c r="N13" i="1"/>
  <c r="L13" i="1"/>
  <c r="J13" i="1"/>
  <c r="H13" i="1"/>
  <c r="U12" i="1"/>
  <c r="D10" i="2" s="1"/>
  <c r="S12" i="1"/>
  <c r="R12" i="1"/>
  <c r="Q12" i="1"/>
  <c r="P12" i="1"/>
  <c r="N12" i="1"/>
  <c r="L12" i="1"/>
  <c r="J12" i="1"/>
  <c r="H12" i="1"/>
  <c r="S11" i="1"/>
  <c r="R11" i="1"/>
  <c r="Q11" i="1"/>
  <c r="P11" i="1"/>
  <c r="N11" i="1"/>
  <c r="L11" i="1"/>
  <c r="J11" i="1"/>
  <c r="H11" i="1"/>
  <c r="S10" i="1"/>
  <c r="R10" i="1"/>
  <c r="Q10" i="1"/>
  <c r="P10" i="1"/>
  <c r="N10" i="1"/>
  <c r="L10" i="1"/>
  <c r="J10" i="1"/>
  <c r="H10" i="1"/>
  <c r="S9" i="1"/>
  <c r="R9" i="1"/>
  <c r="Q9" i="1"/>
  <c r="P9" i="1"/>
  <c r="N9" i="1"/>
  <c r="L9" i="1"/>
  <c r="J9" i="1"/>
  <c r="H9" i="1"/>
  <c r="S8" i="1"/>
  <c r="R8" i="1"/>
  <c r="Q8" i="1"/>
  <c r="P8" i="1"/>
  <c r="N8" i="1"/>
  <c r="L8" i="1"/>
  <c r="J8" i="1"/>
  <c r="H8" i="1"/>
  <c r="S7" i="1"/>
  <c r="R7" i="1"/>
  <c r="Q7" i="1"/>
  <c r="P7" i="1"/>
  <c r="N7" i="1"/>
  <c r="L7" i="1"/>
  <c r="J7" i="1"/>
  <c r="H7" i="1"/>
  <c r="S6" i="1"/>
  <c r="R6" i="1"/>
  <c r="Q6" i="1"/>
  <c r="P6" i="1"/>
  <c r="N6" i="1"/>
  <c r="L6" i="1"/>
  <c r="J6" i="1"/>
  <c r="H6" i="1"/>
  <c r="S5" i="1"/>
  <c r="R5" i="1"/>
  <c r="Q5" i="1"/>
  <c r="P5" i="1"/>
  <c r="N5" i="1"/>
  <c r="L5" i="1"/>
  <c r="J5" i="1"/>
  <c r="H5" i="1"/>
  <c r="S4" i="1"/>
  <c r="R4" i="1"/>
  <c r="Q4" i="1"/>
  <c r="P4" i="1"/>
  <c r="N4" i="1"/>
  <c r="L4" i="1"/>
  <c r="J4" i="1"/>
  <c r="H4" i="1"/>
  <c r="S3" i="1"/>
  <c r="R3" i="1"/>
  <c r="Q3" i="1"/>
  <c r="P3" i="1"/>
  <c r="N3" i="1"/>
  <c r="L3" i="1"/>
  <c r="J3" i="1"/>
  <c r="H3" i="1"/>
  <c r="S2" i="1"/>
  <c r="R2" i="1"/>
  <c r="T2" i="1" s="1"/>
  <c r="Q2" i="1"/>
  <c r="P2" i="1"/>
  <c r="N2" i="1"/>
  <c r="L2" i="1"/>
  <c r="J2" i="1"/>
  <c r="H2" i="1"/>
  <c r="F8" i="2" l="1"/>
  <c r="T7" i="1"/>
  <c r="T10" i="1"/>
  <c r="F7" i="2"/>
  <c r="T18" i="1"/>
  <c r="J8" i="2" s="1"/>
  <c r="T17" i="1"/>
  <c r="T15" i="1"/>
  <c r="J7" i="2" s="1"/>
  <c r="F6" i="2"/>
  <c r="T8" i="1"/>
  <c r="J5" i="2" s="1"/>
  <c r="T14" i="1"/>
  <c r="T16" i="1"/>
  <c r="T5" i="1"/>
  <c r="T4" i="1"/>
  <c r="T6" i="1"/>
  <c r="T9" i="1"/>
  <c r="T3" i="1"/>
  <c r="F5" i="2"/>
  <c r="T19" i="1"/>
  <c r="T13" i="1"/>
  <c r="T12" i="1"/>
  <c r="T11" i="1"/>
  <c r="J6" i="2" s="1"/>
</calcChain>
</file>

<file path=xl/sharedStrings.xml><?xml version="1.0" encoding="utf-8"?>
<sst xmlns="http://schemas.openxmlformats.org/spreadsheetml/2006/main" count="81" uniqueCount="55">
  <si>
    <t>Orden</t>
  </si>
  <si>
    <t>Caso</t>
  </si>
  <si>
    <t>Portadora
(MHz)</t>
  </si>
  <si>
    <t>Tono
(kHz)</t>
  </si>
  <si>
    <t>Amplitud</t>
  </si>
  <si>
    <t>SA START
(MHz)</t>
  </si>
  <si>
    <t>SA STOP
(MHz)</t>
  </si>
  <si>
    <t>f espuria
(MHz)</t>
  </si>
  <si>
    <t>Espuria
(dBm)</t>
  </si>
  <si>
    <t>f imagen
(MHz)</t>
  </si>
  <si>
    <t>Imagen
(dBm)</t>
  </si>
  <si>
    <t>f fuga
(MHz)</t>
  </si>
  <si>
    <t>Fuga
(dBm)</t>
  </si>
  <si>
    <t>f tono
(MHz)</t>
  </si>
  <si>
    <t>Tono
(dBm)</t>
  </si>
  <si>
    <t>Rechazo de
imagen (dB)</t>
  </si>
  <si>
    <t>Tono menos
fuga (dB)</t>
  </si>
  <si>
    <t>Subida
medida (dB)</t>
  </si>
  <si>
    <t>Subida
teorica (dB)</t>
  </si>
  <si>
    <t>Diferencia
(dB)</t>
  </si>
  <si>
    <t>Deriva
(dB)</t>
  </si>
  <si>
    <t>Piso de ruido
(dBm)</t>
  </si>
  <si>
    <t>Capturar
a SD</t>
  </si>
  <si>
    <t>Que hacer antes de medir esta fila</t>
  </si>
  <si>
    <t>Notas</t>
  </si>
  <si>
    <t>A</t>
  </si>
  <si>
    <t>SI</t>
  </si>
  <si>
    <t>Ventana 398,8 a 400,8 MHz. RBW 10 kHz. Marcadores en 399,0623 / 399,800 / 400,000 / 400,200. Ganancia TX en 30. Transmitir 5 minutos antes de medir.</t>
  </si>
  <si>
    <t>B1</t>
  </si>
  <si>
    <t>Tono a 600 kHz. Mover marcadores 2 y 4 a 399,400 y 400,600.</t>
  </si>
  <si>
    <t>Control 1</t>
  </si>
  <si>
    <t>Volver la amplitud a 0,4 y repetir el punto de la fila 10. No tocar nada mas.</t>
  </si>
  <si>
    <t>B2</t>
  </si>
  <si>
    <t>Portadora a 600 MHz con el selector. Ventana 598,8 a 600,8 MHz. Tono a 200 kHz. Marcadores en 599,0623 / 599,800 / 600,000 / 600,200.</t>
  </si>
  <si>
    <t>B3</t>
  </si>
  <si>
    <t>Tono a 600 kHz. Mover marcadores 2 y 4 a 599,400 y 600,600.</t>
  </si>
  <si>
    <t>Control 2</t>
  </si>
  <si>
    <t>Volver la amplitud a 0,4 y repetir el punto de la fila 17. No tocar nada mas.</t>
  </si>
  <si>
    <t>EXP-08  Resumen por caso</t>
  </si>
  <si>
    <t>Se completa solo a medida que cargas la hoja Datos.</t>
  </si>
  <si>
    <t>Fuga promedio
(dBm)</t>
  </si>
  <si>
    <t>Dispersion de
la fuga (dB)</t>
  </si>
  <si>
    <t>Rechazo de imagen
promedio (dB)</t>
  </si>
  <si>
    <t>Tono a 0,1
(dBm)</t>
  </si>
  <si>
    <t>Tono a 0,4
(dBm)</t>
  </si>
  <si>
    <t>Tono a 0,7
(dBm)</t>
  </si>
  <si>
    <t>Diferencia con la
teoria a 0,7 (dB)</t>
  </si>
  <si>
    <t>Deriva de la tanda de 400 MHz (dB)</t>
  </si>
  <si>
    <t>Deriva de la tanda de 600 MHz (dB)</t>
  </si>
  <si>
    <t>COMO LEER ESTE RESUMEN</t>
  </si>
  <si>
    <t>Fuga promedio: tiene que ser identica dentro de cada caso, porque no depende de la amplitud. Si cambia entre 400 y 600 MHz, la fuga depende de la frecuencia y hay que preverlo al disenar el peine.</t>
  </si>
  <si>
    <t>Dispersion de la fuga: cuanto varia dentro del caso. Mas de unas decimas indica que algo esta derivando.</t>
  </si>
  <si>
    <t>Rechazo de imagen promedio: deberia mantenerse constante dentro de cada caso. Comparar entre casos dice si depende de la portadora o del corrimiento del tono.</t>
  </si>
  <si>
    <t>Diferencia con la teoria a 0,7: cuanto se aparta la subida medida de los 16,9 dB teoricos. Si es parecida en los cuatro casos es un efecto general de la cadena; si aparece en uno solo, hay que investigar ese caso.</t>
  </si>
  <si>
    <t>Deriva: diferencia entre el punto de control y el mismo punto medido minutos antes. Es la repetibilidad de la sesion.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</si>
</sst>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10"/>
      <name val="Arial"/>
    </font>
    <font>
      <sz val="10"/>
      <color rgb="FF0000FF"/>
      <name val="Arial"/>
    </font>
    <font>
      <i/>
      <sz val="9"/>
      <color rgb="FF7F6000"/>
      <name val="Arial"/>
    </font>
    <font>
      <b/>
      <sz val="10"/>
      <name val="Arial"/>
    </font>
    <font>
      <b/>
      <sz val="14"/>
      <name val="Arial"/>
    </font>
    <font>
      <i/>
      <sz val="10"/>
      <color rgb="FF555555"/>
      <name val="Arial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164" fontId="2" fillId="3" borderId="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showGridLines="0" tabSelected="1" zoomScale="70" zoomScaleNormal="70" workbookViewId="0">
      <pane xSplit="5" ySplit="1" topLeftCell="G2" activePane="bottomRight" state="frozen"/>
      <selection pane="topRight"/>
      <selection pane="bottomLeft"/>
      <selection pane="bottomRight" activeCell="H16" sqref="H16"/>
    </sheetView>
  </sheetViews>
  <sheetFormatPr defaultRowHeight="14.4" x14ac:dyDescent="0.3"/>
  <cols>
    <col min="1" max="1" width="7" customWidth="1"/>
    <col min="2" max="3" width="10" customWidth="1"/>
    <col min="4" max="4" width="8" customWidth="1"/>
    <col min="5" max="5" width="9" customWidth="1"/>
    <col min="6" max="7" width="10" customWidth="1"/>
    <col min="8" max="8" width="11" customWidth="1"/>
    <col min="9" max="9" width="10" customWidth="1"/>
    <col min="10" max="10" width="11" customWidth="1"/>
    <col min="11" max="11" width="10" customWidth="1"/>
    <col min="12" max="12" width="11" customWidth="1"/>
    <col min="13" max="13" width="10" customWidth="1"/>
    <col min="14" max="14" width="11" customWidth="1"/>
    <col min="15" max="15" width="10" customWidth="1"/>
    <col min="16" max="17" width="12" customWidth="1"/>
    <col min="18" max="19" width="11" customWidth="1"/>
    <col min="20" max="20" width="10" customWidth="1"/>
    <col min="21" max="21" width="9" customWidth="1"/>
    <col min="22" max="22" width="12" customWidth="1"/>
    <col min="23" max="23" width="9" customWidth="1"/>
    <col min="24" max="24" width="52" customWidth="1"/>
    <col min="25" max="25" width="30" customWidth="1"/>
  </cols>
  <sheetData>
    <row r="1" spans="1:25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0" customHeight="1" x14ac:dyDescent="0.3">
      <c r="A2" s="12">
        <v>1</v>
      </c>
      <c r="B2" s="12" t="s">
        <v>25</v>
      </c>
      <c r="C2" s="13">
        <v>400</v>
      </c>
      <c r="D2" s="13">
        <v>200</v>
      </c>
      <c r="E2" s="14">
        <v>0.1</v>
      </c>
      <c r="F2" s="14">
        <v>398.8</v>
      </c>
      <c r="G2" s="14">
        <v>400.8</v>
      </c>
      <c r="H2" s="15">
        <f t="shared" ref="H2:H19" si="0">C2-0.9377</f>
        <v>399.06229999999999</v>
      </c>
      <c r="I2" s="16">
        <v>-92.2</v>
      </c>
      <c r="J2" s="15">
        <f t="shared" ref="J2:J19" si="1">C2-D2/1000</f>
        <v>399.8</v>
      </c>
      <c r="K2" s="16">
        <v>-90.3</v>
      </c>
      <c r="L2" s="15">
        <f t="shared" ref="L2:L19" si="2">C2</f>
        <v>400</v>
      </c>
      <c r="M2" s="16">
        <v>-40.1</v>
      </c>
      <c r="N2" s="15">
        <f t="shared" ref="N2:N19" si="3">C2+D2/1000</f>
        <v>400.2</v>
      </c>
      <c r="O2" s="16">
        <v>-55.3</v>
      </c>
      <c r="P2" s="17">
        <f t="shared" ref="P2:P19" si="4">IF(OR($O2="",$K2=""),"",$O2-$K2)</f>
        <v>35</v>
      </c>
      <c r="Q2" s="17">
        <f t="shared" ref="Q2:Q19" si="5">IF(OR($O2="",$M2=""),"",$O2-$M2)</f>
        <v>-15.199999999999996</v>
      </c>
      <c r="R2" s="17">
        <f t="shared" ref="R2:R19" si="6">IF($O2="","",IF(SUMIFS($O$2:$O$19,$B$2:$B$19,$B2,$E$2:$E$19,0.1)=0,"",$O2-SUMIFS($O$2:$O$19,$B$2:$B$19,$B2,$E$2:$E$19,0.1)))</f>
        <v>0</v>
      </c>
      <c r="S2" s="17">
        <f t="shared" ref="S2:S19" si="7">IF($O2="","",IF(SUMIFS($O$2:$O$19,$B$2:$B$19,$B2,$E$2:$E$19,0.1)=0,"",20*LOG10($E2/0.1)))</f>
        <v>0</v>
      </c>
      <c r="T2" s="17">
        <f t="shared" ref="T2:T19" si="8">IF(OR($R2="",$S2=""),"",$R2-$S2)</f>
        <v>0</v>
      </c>
      <c r="U2" s="17"/>
      <c r="V2" s="16"/>
      <c r="W2" s="2" t="s">
        <v>26</v>
      </c>
      <c r="X2" s="5" t="s">
        <v>27</v>
      </c>
      <c r="Y2" s="6"/>
    </row>
    <row r="3" spans="1:25" ht="16.05" customHeight="1" x14ac:dyDescent="0.3">
      <c r="A3" s="12">
        <v>2</v>
      </c>
      <c r="B3" s="12" t="s">
        <v>25</v>
      </c>
      <c r="C3" s="13">
        <v>400</v>
      </c>
      <c r="D3" s="13">
        <v>200</v>
      </c>
      <c r="E3" s="14">
        <v>0.2</v>
      </c>
      <c r="F3" s="14">
        <v>398.8</v>
      </c>
      <c r="G3" s="14">
        <v>400.8</v>
      </c>
      <c r="H3" s="15">
        <f t="shared" si="0"/>
        <v>399.06229999999999</v>
      </c>
      <c r="I3" s="16">
        <v>-93</v>
      </c>
      <c r="J3" s="15">
        <f t="shared" si="1"/>
        <v>399.8</v>
      </c>
      <c r="K3" s="16">
        <v>-84.4</v>
      </c>
      <c r="L3" s="15">
        <f t="shared" si="2"/>
        <v>400</v>
      </c>
      <c r="M3" s="16">
        <v>-40.1</v>
      </c>
      <c r="N3" s="15">
        <f t="shared" si="3"/>
        <v>400.2</v>
      </c>
      <c r="O3" s="16">
        <v>-49.2</v>
      </c>
      <c r="P3" s="17">
        <f t="shared" si="4"/>
        <v>35.200000000000003</v>
      </c>
      <c r="Q3" s="17">
        <f t="shared" si="5"/>
        <v>-9.1000000000000014</v>
      </c>
      <c r="R3" s="17">
        <f t="shared" si="6"/>
        <v>6.0999999999999943</v>
      </c>
      <c r="S3" s="17">
        <f t="shared" si="7"/>
        <v>6.0205999132796242</v>
      </c>
      <c r="T3" s="17">
        <f t="shared" si="8"/>
        <v>7.9400086720370133E-2</v>
      </c>
      <c r="U3" s="17"/>
      <c r="V3" s="17"/>
      <c r="W3" s="2"/>
      <c r="X3" s="7"/>
      <c r="Y3" s="6"/>
    </row>
    <row r="4" spans="1:25" ht="16.05" customHeight="1" x14ac:dyDescent="0.3">
      <c r="A4" s="12">
        <v>3</v>
      </c>
      <c r="B4" s="12" t="s">
        <v>25</v>
      </c>
      <c r="C4" s="13">
        <v>400</v>
      </c>
      <c r="D4" s="13">
        <v>200</v>
      </c>
      <c r="E4" s="14">
        <v>0.3</v>
      </c>
      <c r="F4" s="14">
        <v>398.8</v>
      </c>
      <c r="G4" s="14">
        <v>400.8</v>
      </c>
      <c r="H4" s="15">
        <f t="shared" si="0"/>
        <v>399.06229999999999</v>
      </c>
      <c r="I4" s="16">
        <v>-92.7</v>
      </c>
      <c r="J4" s="15">
        <f t="shared" si="1"/>
        <v>399.8</v>
      </c>
      <c r="K4" s="16">
        <v>-80.7</v>
      </c>
      <c r="L4" s="15">
        <f t="shared" si="2"/>
        <v>400</v>
      </c>
      <c r="M4" s="16">
        <v>-40.1</v>
      </c>
      <c r="N4" s="15">
        <f t="shared" si="3"/>
        <v>400.2</v>
      </c>
      <c r="O4" s="16">
        <v>-46</v>
      </c>
      <c r="P4" s="17">
        <f t="shared" si="4"/>
        <v>34.700000000000003</v>
      </c>
      <c r="Q4" s="17">
        <f t="shared" si="5"/>
        <v>-5.8999999999999986</v>
      </c>
      <c r="R4" s="17">
        <f t="shared" si="6"/>
        <v>9.2999999999999972</v>
      </c>
      <c r="S4" s="17">
        <f t="shared" si="7"/>
        <v>9.5424250943932485</v>
      </c>
      <c r="T4" s="17">
        <f t="shared" si="8"/>
        <v>-0.24242509439325133</v>
      </c>
      <c r="U4" s="17"/>
      <c r="V4" s="17"/>
      <c r="W4" s="2"/>
      <c r="X4" s="7"/>
      <c r="Y4" s="6"/>
    </row>
    <row r="5" spans="1:25" ht="16.05" customHeight="1" x14ac:dyDescent="0.3">
      <c r="A5" s="12">
        <v>4</v>
      </c>
      <c r="B5" s="12" t="s">
        <v>25</v>
      </c>
      <c r="C5" s="13">
        <v>400</v>
      </c>
      <c r="D5" s="13">
        <v>200</v>
      </c>
      <c r="E5" s="14">
        <v>0.4</v>
      </c>
      <c r="F5" s="14">
        <v>398.8</v>
      </c>
      <c r="G5" s="14">
        <v>400.8</v>
      </c>
      <c r="H5" s="15">
        <f t="shared" si="0"/>
        <v>399.06229999999999</v>
      </c>
      <c r="I5" s="16">
        <v>-92.8</v>
      </c>
      <c r="J5" s="15">
        <f t="shared" si="1"/>
        <v>399.8</v>
      </c>
      <c r="K5" s="16">
        <v>-77.7</v>
      </c>
      <c r="L5" s="15">
        <f t="shared" si="2"/>
        <v>400</v>
      </c>
      <c r="M5" s="16">
        <v>-40.200000000000003</v>
      </c>
      <c r="N5" s="15">
        <f t="shared" si="3"/>
        <v>400.2</v>
      </c>
      <c r="O5" s="16">
        <v>-43.2</v>
      </c>
      <c r="P5" s="17">
        <f t="shared" si="4"/>
        <v>34.5</v>
      </c>
      <c r="Q5" s="17">
        <f t="shared" si="5"/>
        <v>-3</v>
      </c>
      <c r="R5" s="17">
        <f t="shared" si="6"/>
        <v>12.099999999999994</v>
      </c>
      <c r="S5" s="17">
        <f t="shared" si="7"/>
        <v>12.041199826559248</v>
      </c>
      <c r="T5" s="17">
        <f t="shared" si="8"/>
        <v>5.8800173440745951E-2</v>
      </c>
      <c r="U5" s="17"/>
      <c r="V5" s="17"/>
      <c r="W5" s="2"/>
      <c r="X5" s="7"/>
      <c r="Y5" s="6"/>
    </row>
    <row r="6" spans="1:25" ht="16.05" customHeight="1" x14ac:dyDescent="0.3">
      <c r="A6" s="12">
        <v>5</v>
      </c>
      <c r="B6" s="12" t="s">
        <v>25</v>
      </c>
      <c r="C6" s="13">
        <v>400</v>
      </c>
      <c r="D6" s="13">
        <v>200</v>
      </c>
      <c r="E6" s="14">
        <v>0.5</v>
      </c>
      <c r="F6" s="14">
        <v>398.8</v>
      </c>
      <c r="G6" s="14">
        <v>400.8</v>
      </c>
      <c r="H6" s="15">
        <f t="shared" si="0"/>
        <v>399.06229999999999</v>
      </c>
      <c r="I6" s="16">
        <v>-93.1</v>
      </c>
      <c r="J6" s="15">
        <f t="shared" si="1"/>
        <v>399.8</v>
      </c>
      <c r="K6" s="16">
        <v>-75.900000000000006</v>
      </c>
      <c r="L6" s="15">
        <f t="shared" si="2"/>
        <v>400</v>
      </c>
      <c r="M6" s="16">
        <v>-40.200000000000003</v>
      </c>
      <c r="N6" s="15">
        <f t="shared" si="3"/>
        <v>400.2</v>
      </c>
      <c r="O6" s="16">
        <v>-41.5</v>
      </c>
      <c r="P6" s="17">
        <f t="shared" si="4"/>
        <v>34.400000000000006</v>
      </c>
      <c r="Q6" s="17">
        <f t="shared" si="5"/>
        <v>-1.2999999999999972</v>
      </c>
      <c r="R6" s="17">
        <f t="shared" si="6"/>
        <v>13.799999999999997</v>
      </c>
      <c r="S6" s="17">
        <f t="shared" si="7"/>
        <v>13.979400086720377</v>
      </c>
      <c r="T6" s="17">
        <f t="shared" si="8"/>
        <v>-0.17940008672037955</v>
      </c>
      <c r="U6" s="17"/>
      <c r="V6" s="17"/>
      <c r="W6" s="2"/>
      <c r="X6" s="7"/>
      <c r="Y6" s="6"/>
    </row>
    <row r="7" spans="1:25" ht="16.05" customHeight="1" x14ac:dyDescent="0.3">
      <c r="A7" s="12">
        <v>6</v>
      </c>
      <c r="B7" s="12" t="s">
        <v>25</v>
      </c>
      <c r="C7" s="13">
        <v>400</v>
      </c>
      <c r="D7" s="13">
        <v>200</v>
      </c>
      <c r="E7" s="14">
        <v>0.6</v>
      </c>
      <c r="F7" s="14">
        <v>398.8</v>
      </c>
      <c r="G7" s="14">
        <v>400.8</v>
      </c>
      <c r="H7" s="15">
        <f t="shared" si="0"/>
        <v>399.06229999999999</v>
      </c>
      <c r="I7" s="16">
        <v>-92.6</v>
      </c>
      <c r="J7" s="15">
        <f t="shared" si="1"/>
        <v>399.8</v>
      </c>
      <c r="K7" s="16">
        <v>-74.8</v>
      </c>
      <c r="L7" s="15">
        <f t="shared" si="2"/>
        <v>400</v>
      </c>
      <c r="M7" s="16">
        <v>-40.200000000000003</v>
      </c>
      <c r="N7" s="15">
        <f t="shared" si="3"/>
        <v>400.2</v>
      </c>
      <c r="O7" s="16">
        <v>-40</v>
      </c>
      <c r="P7" s="17">
        <f t="shared" si="4"/>
        <v>34.799999999999997</v>
      </c>
      <c r="Q7" s="17">
        <f t="shared" si="5"/>
        <v>0.20000000000000284</v>
      </c>
      <c r="R7" s="17">
        <f t="shared" si="6"/>
        <v>15.299999999999997</v>
      </c>
      <c r="S7" s="17">
        <f t="shared" si="7"/>
        <v>15.56302500767287</v>
      </c>
      <c r="T7" s="17">
        <f t="shared" si="8"/>
        <v>-0.26302500767287285</v>
      </c>
      <c r="U7" s="17"/>
      <c r="V7" s="17"/>
      <c r="W7" s="2"/>
      <c r="X7" s="7"/>
      <c r="Y7" s="6"/>
    </row>
    <row r="8" spans="1:25" ht="16.05" customHeight="1" x14ac:dyDescent="0.3">
      <c r="A8" s="12">
        <v>7</v>
      </c>
      <c r="B8" s="12" t="s">
        <v>25</v>
      </c>
      <c r="C8" s="13">
        <v>400</v>
      </c>
      <c r="D8" s="13">
        <v>200</v>
      </c>
      <c r="E8" s="14">
        <v>0.7</v>
      </c>
      <c r="F8" s="14">
        <v>398.8</v>
      </c>
      <c r="G8" s="14">
        <v>400.8</v>
      </c>
      <c r="H8" s="15">
        <f t="shared" si="0"/>
        <v>399.06229999999999</v>
      </c>
      <c r="I8" s="16">
        <v>-92.7</v>
      </c>
      <c r="J8" s="15">
        <f t="shared" si="1"/>
        <v>399.8</v>
      </c>
      <c r="K8" s="16">
        <v>-73.2</v>
      </c>
      <c r="L8" s="15">
        <f t="shared" si="2"/>
        <v>400</v>
      </c>
      <c r="M8" s="16">
        <v>-40.200000000000003</v>
      </c>
      <c r="N8" s="15">
        <f t="shared" si="3"/>
        <v>400.2</v>
      </c>
      <c r="O8" s="16">
        <v>-38.700000000000003</v>
      </c>
      <c r="P8" s="17">
        <f t="shared" si="4"/>
        <v>34.5</v>
      </c>
      <c r="Q8" s="17">
        <f t="shared" si="5"/>
        <v>1.5</v>
      </c>
      <c r="R8" s="17">
        <f t="shared" si="6"/>
        <v>16.599999999999994</v>
      </c>
      <c r="S8" s="17">
        <f t="shared" si="7"/>
        <v>16.901960800285135</v>
      </c>
      <c r="T8" s="17">
        <f t="shared" si="8"/>
        <v>-0.30196080028514061</v>
      </c>
      <c r="U8" s="17"/>
      <c r="V8" s="17"/>
      <c r="W8" s="2" t="s">
        <v>26</v>
      </c>
      <c r="X8" s="7"/>
      <c r="Y8" s="6"/>
    </row>
    <row r="9" spans="1:25" ht="30" customHeight="1" x14ac:dyDescent="0.3">
      <c r="A9" s="12">
        <v>8</v>
      </c>
      <c r="B9" s="12" t="s">
        <v>28</v>
      </c>
      <c r="C9" s="13">
        <v>400</v>
      </c>
      <c r="D9" s="13">
        <v>600</v>
      </c>
      <c r="E9" s="14">
        <v>0.1</v>
      </c>
      <c r="F9" s="14">
        <v>398.8</v>
      </c>
      <c r="G9" s="14">
        <v>400.8</v>
      </c>
      <c r="H9" s="15">
        <f t="shared" si="0"/>
        <v>399.06229999999999</v>
      </c>
      <c r="I9" s="16">
        <v>-92.6</v>
      </c>
      <c r="J9" s="15">
        <f t="shared" si="1"/>
        <v>399.4</v>
      </c>
      <c r="K9" s="16">
        <v>-89.7</v>
      </c>
      <c r="L9" s="15">
        <f t="shared" si="2"/>
        <v>400</v>
      </c>
      <c r="M9" s="16">
        <v>-40.6</v>
      </c>
      <c r="N9" s="15">
        <f t="shared" si="3"/>
        <v>400.6</v>
      </c>
      <c r="O9" s="16">
        <v>-55.6</v>
      </c>
      <c r="P9" s="17">
        <f t="shared" si="4"/>
        <v>34.1</v>
      </c>
      <c r="Q9" s="17">
        <f t="shared" si="5"/>
        <v>-15</v>
      </c>
      <c r="R9" s="17">
        <f t="shared" si="6"/>
        <v>0</v>
      </c>
      <c r="S9" s="17">
        <f t="shared" si="7"/>
        <v>0</v>
      </c>
      <c r="T9" s="17">
        <f t="shared" si="8"/>
        <v>0</v>
      </c>
      <c r="U9" s="17"/>
      <c r="V9" s="17"/>
      <c r="W9" s="19" t="s">
        <v>26</v>
      </c>
      <c r="X9" s="5" t="s">
        <v>29</v>
      </c>
      <c r="Y9" s="6"/>
    </row>
    <row r="10" spans="1:25" ht="16.05" customHeight="1" x14ac:dyDescent="0.3">
      <c r="A10" s="12">
        <v>9</v>
      </c>
      <c r="B10" s="12" t="s">
        <v>28</v>
      </c>
      <c r="C10" s="13">
        <v>400</v>
      </c>
      <c r="D10" s="13">
        <v>600</v>
      </c>
      <c r="E10" s="14">
        <v>0.4</v>
      </c>
      <c r="F10" s="14">
        <v>398.8</v>
      </c>
      <c r="G10" s="14">
        <v>400.8</v>
      </c>
      <c r="H10" s="15">
        <f t="shared" si="0"/>
        <v>399.06229999999999</v>
      </c>
      <c r="I10" s="16">
        <v>-92.9</v>
      </c>
      <c r="J10" s="15">
        <f t="shared" si="1"/>
        <v>399.4</v>
      </c>
      <c r="K10" s="16">
        <v>-77.900000000000006</v>
      </c>
      <c r="L10" s="15">
        <f t="shared" si="2"/>
        <v>400</v>
      </c>
      <c r="M10" s="16">
        <v>-40.200000000000003</v>
      </c>
      <c r="N10" s="15">
        <f t="shared" si="3"/>
        <v>400.6</v>
      </c>
      <c r="O10" s="16">
        <v>-43.9</v>
      </c>
      <c r="P10" s="17">
        <f t="shared" si="4"/>
        <v>34.000000000000007</v>
      </c>
      <c r="Q10" s="17">
        <f t="shared" si="5"/>
        <v>-3.6999999999999957</v>
      </c>
      <c r="R10" s="17">
        <f t="shared" si="6"/>
        <v>11.700000000000003</v>
      </c>
      <c r="S10" s="17">
        <f t="shared" si="7"/>
        <v>12.041199826559248</v>
      </c>
      <c r="T10" s="17">
        <f t="shared" si="8"/>
        <v>-0.34119982655924552</v>
      </c>
      <c r="U10" s="17"/>
      <c r="V10" s="17"/>
      <c r="W10" s="2"/>
      <c r="X10" s="7"/>
      <c r="Y10" s="6"/>
    </row>
    <row r="11" spans="1:25" ht="16.05" customHeight="1" x14ac:dyDescent="0.3">
      <c r="A11" s="12">
        <v>10</v>
      </c>
      <c r="B11" s="12" t="s">
        <v>28</v>
      </c>
      <c r="C11" s="13">
        <v>400</v>
      </c>
      <c r="D11" s="13">
        <v>600</v>
      </c>
      <c r="E11" s="14">
        <v>0.7</v>
      </c>
      <c r="F11" s="14">
        <v>398.8</v>
      </c>
      <c r="G11" s="14">
        <v>400.8</v>
      </c>
      <c r="H11" s="15">
        <f t="shared" si="0"/>
        <v>399.06229999999999</v>
      </c>
      <c r="I11" s="16">
        <v>-92.7</v>
      </c>
      <c r="J11" s="15">
        <f t="shared" si="1"/>
        <v>399.4</v>
      </c>
      <c r="K11" s="16">
        <v>-72.8</v>
      </c>
      <c r="L11" s="15">
        <f t="shared" si="2"/>
        <v>400</v>
      </c>
      <c r="M11" s="16">
        <v>-40.200000000000003</v>
      </c>
      <c r="N11" s="15">
        <f t="shared" si="3"/>
        <v>400.6</v>
      </c>
      <c r="O11" s="16">
        <v>-38.9</v>
      </c>
      <c r="P11" s="17">
        <f t="shared" si="4"/>
        <v>33.9</v>
      </c>
      <c r="Q11" s="17">
        <f t="shared" si="5"/>
        <v>1.3000000000000043</v>
      </c>
      <c r="R11" s="17">
        <f t="shared" si="6"/>
        <v>16.700000000000003</v>
      </c>
      <c r="S11" s="17">
        <f t="shared" si="7"/>
        <v>16.901960800285135</v>
      </c>
      <c r="T11" s="17">
        <f t="shared" si="8"/>
        <v>-0.20196080028513208</v>
      </c>
      <c r="U11" s="17"/>
      <c r="V11" s="17"/>
      <c r="W11" s="2" t="s">
        <v>26</v>
      </c>
      <c r="X11" s="7"/>
      <c r="Y11" s="6"/>
    </row>
    <row r="12" spans="1:25" ht="30" customHeight="1" x14ac:dyDescent="0.3">
      <c r="A12" s="18">
        <v>11</v>
      </c>
      <c r="B12" s="18" t="s">
        <v>30</v>
      </c>
      <c r="C12" s="13">
        <v>400</v>
      </c>
      <c r="D12" s="13">
        <v>600</v>
      </c>
      <c r="E12" s="14">
        <v>0.4</v>
      </c>
      <c r="F12" s="14">
        <v>398.8</v>
      </c>
      <c r="G12" s="14">
        <v>400.8</v>
      </c>
      <c r="H12" s="15">
        <f t="shared" si="0"/>
        <v>399.06229999999999</v>
      </c>
      <c r="I12" s="16">
        <v>-92.8</v>
      </c>
      <c r="J12" s="15">
        <f t="shared" si="1"/>
        <v>399.4</v>
      </c>
      <c r="K12" s="16">
        <v>-77.599999999999994</v>
      </c>
      <c r="L12" s="15">
        <f t="shared" si="2"/>
        <v>400</v>
      </c>
      <c r="M12" s="16">
        <v>-40.200000000000003</v>
      </c>
      <c r="N12" s="15">
        <f t="shared" si="3"/>
        <v>400.6</v>
      </c>
      <c r="O12" s="16">
        <v>-43.6</v>
      </c>
      <c r="P12" s="17">
        <f t="shared" si="4"/>
        <v>33.999999999999993</v>
      </c>
      <c r="Q12" s="17">
        <f t="shared" si="5"/>
        <v>-3.3999999999999986</v>
      </c>
      <c r="R12" s="17" t="str">
        <f t="shared" si="6"/>
        <v/>
      </c>
      <c r="S12" s="17" t="str">
        <f t="shared" si="7"/>
        <v/>
      </c>
      <c r="T12" s="17" t="str">
        <f t="shared" si="8"/>
        <v/>
      </c>
      <c r="U12" s="17">
        <f>IF(OR($O12="",$O10=""),"",$O12-$O10)</f>
        <v>0.29999999999999716</v>
      </c>
      <c r="V12" s="17"/>
      <c r="W12" s="2"/>
      <c r="X12" s="5" t="s">
        <v>31</v>
      </c>
      <c r="Y12" s="6"/>
    </row>
    <row r="13" spans="1:25" ht="30" customHeight="1" x14ac:dyDescent="0.3">
      <c r="A13" s="12">
        <v>12</v>
      </c>
      <c r="B13" s="12" t="s">
        <v>32</v>
      </c>
      <c r="C13" s="13">
        <v>600</v>
      </c>
      <c r="D13" s="13">
        <v>200</v>
      </c>
      <c r="E13" s="14">
        <v>0.1</v>
      </c>
      <c r="F13" s="14">
        <v>598.79999999999995</v>
      </c>
      <c r="G13" s="14">
        <v>600.79999999999995</v>
      </c>
      <c r="H13" s="15">
        <f t="shared" si="0"/>
        <v>599.06230000000005</v>
      </c>
      <c r="I13" s="16">
        <v>-93.1</v>
      </c>
      <c r="J13" s="15">
        <f t="shared" si="1"/>
        <v>599.79999999999995</v>
      </c>
      <c r="K13" s="16">
        <v>-90.3</v>
      </c>
      <c r="L13" s="15">
        <f t="shared" si="2"/>
        <v>600</v>
      </c>
      <c r="M13" s="16">
        <v>-41.1</v>
      </c>
      <c r="N13" s="15">
        <f t="shared" si="3"/>
        <v>600.20000000000005</v>
      </c>
      <c r="O13" s="16">
        <v>-55.6</v>
      </c>
      <c r="P13" s="17">
        <f t="shared" si="4"/>
        <v>34.699999999999996</v>
      </c>
      <c r="Q13" s="17">
        <f t="shared" si="5"/>
        <v>-14.5</v>
      </c>
      <c r="R13" s="17">
        <f t="shared" si="6"/>
        <v>0</v>
      </c>
      <c r="S13" s="17">
        <f t="shared" si="7"/>
        <v>0</v>
      </c>
      <c r="T13" s="17">
        <f t="shared" si="8"/>
        <v>0</v>
      </c>
      <c r="U13" s="17"/>
      <c r="V13" s="16"/>
      <c r="W13" s="2" t="s">
        <v>26</v>
      </c>
      <c r="X13" s="5" t="s">
        <v>33</v>
      </c>
      <c r="Y13" s="6"/>
    </row>
    <row r="14" spans="1:25" ht="16.05" customHeight="1" x14ac:dyDescent="0.3">
      <c r="A14" s="12">
        <v>13</v>
      </c>
      <c r="B14" s="12" t="s">
        <v>32</v>
      </c>
      <c r="C14" s="13">
        <v>600</v>
      </c>
      <c r="D14" s="13">
        <v>200</v>
      </c>
      <c r="E14" s="14">
        <v>0.4</v>
      </c>
      <c r="F14" s="14">
        <v>598.79999999999995</v>
      </c>
      <c r="G14" s="14">
        <v>600.79999999999995</v>
      </c>
      <c r="H14" s="15">
        <f t="shared" si="0"/>
        <v>599.06230000000005</v>
      </c>
      <c r="I14" s="16">
        <v>-92.9</v>
      </c>
      <c r="J14" s="15">
        <f t="shared" si="1"/>
        <v>599.79999999999995</v>
      </c>
      <c r="K14" s="16">
        <v>-78.2</v>
      </c>
      <c r="L14" s="15">
        <f t="shared" si="2"/>
        <v>600</v>
      </c>
      <c r="M14" s="16">
        <v>-41.1</v>
      </c>
      <c r="N14" s="15">
        <f t="shared" si="3"/>
        <v>600.20000000000005</v>
      </c>
      <c r="O14" s="16">
        <v>-44.5</v>
      </c>
      <c r="P14" s="17">
        <f t="shared" si="4"/>
        <v>33.700000000000003</v>
      </c>
      <c r="Q14" s="17">
        <f t="shared" si="5"/>
        <v>-3.3999999999999986</v>
      </c>
      <c r="R14" s="17">
        <f t="shared" si="6"/>
        <v>11.100000000000001</v>
      </c>
      <c r="S14" s="17">
        <f t="shared" si="7"/>
        <v>12.041199826559248</v>
      </c>
      <c r="T14" s="17">
        <f t="shared" si="8"/>
        <v>-0.94119982655924694</v>
      </c>
      <c r="U14" s="17"/>
      <c r="V14" s="17"/>
      <c r="W14" s="2"/>
      <c r="X14" s="7"/>
      <c r="Y14" s="6"/>
    </row>
    <row r="15" spans="1:25" ht="16.05" customHeight="1" x14ac:dyDescent="0.3">
      <c r="A15" s="12">
        <v>14</v>
      </c>
      <c r="B15" s="12" t="s">
        <v>32</v>
      </c>
      <c r="C15" s="13">
        <v>600</v>
      </c>
      <c r="D15" s="13">
        <v>200</v>
      </c>
      <c r="E15" s="14">
        <v>0.7</v>
      </c>
      <c r="F15" s="14">
        <v>598.79999999999995</v>
      </c>
      <c r="G15" s="14">
        <v>600.79999999999995</v>
      </c>
      <c r="H15" s="15">
        <f t="shared" si="0"/>
        <v>599.06230000000005</v>
      </c>
      <c r="I15" s="16">
        <v>-93.1</v>
      </c>
      <c r="J15" s="15">
        <f t="shared" si="1"/>
        <v>599.79999999999995</v>
      </c>
      <c r="K15" s="16">
        <v>-71.900000000000006</v>
      </c>
      <c r="L15" s="15">
        <f t="shared" si="2"/>
        <v>600</v>
      </c>
      <c r="M15" s="16">
        <v>-40.799999999999997</v>
      </c>
      <c r="N15" s="15">
        <f t="shared" si="3"/>
        <v>600.20000000000005</v>
      </c>
      <c r="O15" s="16">
        <v>-38.6</v>
      </c>
      <c r="P15" s="17">
        <f t="shared" si="4"/>
        <v>33.300000000000004</v>
      </c>
      <c r="Q15" s="17">
        <f t="shared" si="5"/>
        <v>2.1999999999999957</v>
      </c>
      <c r="R15" s="17">
        <f t="shared" si="6"/>
        <v>17</v>
      </c>
      <c r="S15" s="17">
        <f t="shared" si="7"/>
        <v>16.901960800285135</v>
      </c>
      <c r="T15" s="17">
        <f t="shared" si="8"/>
        <v>9.8039199714865077E-2</v>
      </c>
      <c r="U15" s="17"/>
      <c r="V15" s="17"/>
      <c r="W15" s="2" t="s">
        <v>26</v>
      </c>
      <c r="X15" s="7"/>
      <c r="Y15" s="6"/>
    </row>
    <row r="16" spans="1:25" ht="30" customHeight="1" x14ac:dyDescent="0.3">
      <c r="A16" s="12">
        <v>15</v>
      </c>
      <c r="B16" s="12" t="s">
        <v>34</v>
      </c>
      <c r="C16" s="13">
        <v>600</v>
      </c>
      <c r="D16" s="13">
        <v>600</v>
      </c>
      <c r="E16" s="14">
        <v>0.1</v>
      </c>
      <c r="F16" s="14">
        <v>598.79999999999995</v>
      </c>
      <c r="G16" s="14">
        <v>600.79999999999995</v>
      </c>
      <c r="H16" s="15">
        <f t="shared" si="0"/>
        <v>599.06230000000005</v>
      </c>
      <c r="I16" s="16">
        <v>-93.2</v>
      </c>
      <c r="J16" s="15">
        <f t="shared" si="1"/>
        <v>599.4</v>
      </c>
      <c r="K16" s="16">
        <v>-88.9</v>
      </c>
      <c r="L16" s="15">
        <f t="shared" si="2"/>
        <v>600</v>
      </c>
      <c r="M16" s="16">
        <v>-40.799999999999997</v>
      </c>
      <c r="N16" s="15">
        <f t="shared" si="3"/>
        <v>600.6</v>
      </c>
      <c r="O16" s="16">
        <v>-56.8</v>
      </c>
      <c r="P16" s="17">
        <f t="shared" si="4"/>
        <v>32.100000000000009</v>
      </c>
      <c r="Q16" s="17">
        <f t="shared" si="5"/>
        <v>-16</v>
      </c>
      <c r="R16" s="17">
        <f t="shared" si="6"/>
        <v>0</v>
      </c>
      <c r="S16" s="17">
        <f t="shared" si="7"/>
        <v>0</v>
      </c>
      <c r="T16" s="17">
        <f t="shared" si="8"/>
        <v>0</v>
      </c>
      <c r="U16" s="17"/>
      <c r="V16" s="17"/>
      <c r="W16" s="2" t="s">
        <v>26</v>
      </c>
      <c r="X16" s="5" t="s">
        <v>35</v>
      </c>
      <c r="Y16" s="6"/>
    </row>
    <row r="17" spans="1:25" ht="16.05" customHeight="1" x14ac:dyDescent="0.3">
      <c r="A17" s="12">
        <v>16</v>
      </c>
      <c r="B17" s="12" t="s">
        <v>34</v>
      </c>
      <c r="C17" s="13">
        <v>600</v>
      </c>
      <c r="D17" s="13">
        <v>600</v>
      </c>
      <c r="E17" s="14">
        <v>0.4</v>
      </c>
      <c r="F17" s="14">
        <v>598.79999999999995</v>
      </c>
      <c r="G17" s="14">
        <v>600.79999999999995</v>
      </c>
      <c r="H17" s="15">
        <f t="shared" si="0"/>
        <v>599.06230000000005</v>
      </c>
      <c r="I17" s="16">
        <v>-93.2</v>
      </c>
      <c r="J17" s="15">
        <f t="shared" si="1"/>
        <v>599.4</v>
      </c>
      <c r="K17" s="16">
        <v>-75.8</v>
      </c>
      <c r="L17" s="15">
        <f t="shared" si="2"/>
        <v>600</v>
      </c>
      <c r="M17" s="16">
        <v>-41.1</v>
      </c>
      <c r="N17" s="15">
        <f t="shared" si="3"/>
        <v>600.6</v>
      </c>
      <c r="O17" s="16">
        <v>-44.7</v>
      </c>
      <c r="P17" s="17">
        <f t="shared" si="4"/>
        <v>31.099999999999994</v>
      </c>
      <c r="Q17" s="17">
        <f t="shared" si="5"/>
        <v>-3.6000000000000014</v>
      </c>
      <c r="R17" s="17">
        <f t="shared" si="6"/>
        <v>12.099999999999994</v>
      </c>
      <c r="S17" s="17">
        <f t="shared" si="7"/>
        <v>12.041199826559248</v>
      </c>
      <c r="T17" s="17">
        <f t="shared" si="8"/>
        <v>5.8800173440745951E-2</v>
      </c>
      <c r="U17" s="17"/>
      <c r="V17" s="17"/>
      <c r="W17" s="2"/>
      <c r="X17" s="7"/>
      <c r="Y17" s="6"/>
    </row>
    <row r="18" spans="1:25" ht="16.05" customHeight="1" x14ac:dyDescent="0.3">
      <c r="A18" s="12">
        <v>17</v>
      </c>
      <c r="B18" s="12" t="s">
        <v>34</v>
      </c>
      <c r="C18" s="13">
        <v>600</v>
      </c>
      <c r="D18" s="13">
        <v>600</v>
      </c>
      <c r="E18" s="14">
        <v>0.7</v>
      </c>
      <c r="F18" s="14">
        <v>598.79999999999995</v>
      </c>
      <c r="G18" s="14">
        <v>600.79999999999995</v>
      </c>
      <c r="H18" s="15">
        <f t="shared" si="0"/>
        <v>599.06230000000005</v>
      </c>
      <c r="I18" s="16">
        <v>-93.1</v>
      </c>
      <c r="J18" s="15">
        <f t="shared" si="1"/>
        <v>599.4</v>
      </c>
      <c r="K18" s="16">
        <v>-71.900000000000006</v>
      </c>
      <c r="L18" s="15">
        <f t="shared" si="2"/>
        <v>600</v>
      </c>
      <c r="M18" s="16">
        <v>-41.1</v>
      </c>
      <c r="N18" s="15">
        <f t="shared" si="3"/>
        <v>600.6</v>
      </c>
      <c r="O18" s="16">
        <v>-39.700000000000003</v>
      </c>
      <c r="P18" s="17">
        <f t="shared" si="4"/>
        <v>32.200000000000003</v>
      </c>
      <c r="Q18" s="17">
        <f t="shared" si="5"/>
        <v>1.3999999999999986</v>
      </c>
      <c r="R18" s="17">
        <f t="shared" si="6"/>
        <v>17.099999999999994</v>
      </c>
      <c r="S18" s="17">
        <f t="shared" si="7"/>
        <v>16.901960800285135</v>
      </c>
      <c r="T18" s="17">
        <f t="shared" si="8"/>
        <v>0.19803919971485939</v>
      </c>
      <c r="U18" s="17"/>
      <c r="V18" s="17"/>
      <c r="W18" s="2" t="s">
        <v>26</v>
      </c>
      <c r="X18" s="7"/>
      <c r="Y18" s="6"/>
    </row>
    <row r="19" spans="1:25" ht="30" customHeight="1" x14ac:dyDescent="0.3">
      <c r="A19" s="18">
        <v>18</v>
      </c>
      <c r="B19" s="18" t="s">
        <v>36</v>
      </c>
      <c r="C19" s="13">
        <v>600</v>
      </c>
      <c r="D19" s="13">
        <v>600</v>
      </c>
      <c r="E19" s="14">
        <v>0.4</v>
      </c>
      <c r="F19" s="14">
        <v>598.79999999999995</v>
      </c>
      <c r="G19" s="14">
        <v>600.79999999999995</v>
      </c>
      <c r="H19" s="15">
        <f t="shared" si="0"/>
        <v>599.06230000000005</v>
      </c>
      <c r="I19" s="16">
        <v>-92.9</v>
      </c>
      <c r="J19" s="15">
        <f t="shared" si="1"/>
        <v>599.4</v>
      </c>
      <c r="K19" s="16">
        <v>-76.8</v>
      </c>
      <c r="L19" s="15">
        <f t="shared" si="2"/>
        <v>600</v>
      </c>
      <c r="M19" s="16">
        <v>-41</v>
      </c>
      <c r="N19" s="15">
        <f t="shared" si="3"/>
        <v>600.6</v>
      </c>
      <c r="O19" s="16">
        <v>-44.6</v>
      </c>
      <c r="P19" s="17">
        <f t="shared" si="4"/>
        <v>32.199999999999996</v>
      </c>
      <c r="Q19" s="17">
        <f t="shared" si="5"/>
        <v>-3.6000000000000014</v>
      </c>
      <c r="R19" s="17" t="str">
        <f t="shared" si="6"/>
        <v/>
      </c>
      <c r="S19" s="17" t="str">
        <f t="shared" si="7"/>
        <v/>
      </c>
      <c r="T19" s="17" t="str">
        <f t="shared" si="8"/>
        <v/>
      </c>
      <c r="U19" s="17">
        <f>IF(OR($O19="",$O17=""),"",$O19-$O17)</f>
        <v>0.10000000000000142</v>
      </c>
      <c r="V19" s="17"/>
      <c r="W19" s="2"/>
      <c r="X19" s="5" t="s">
        <v>37</v>
      </c>
      <c r="Y19" s="6"/>
    </row>
  </sheetData>
  <autoFilter ref="A1:Y19" xr:uid="{00000000-0009-0000-0000-000000000000}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workbookViewId="0"/>
  </sheetViews>
  <sheetFormatPr defaultRowHeight="14.4" x14ac:dyDescent="0.3"/>
  <cols>
    <col min="1" max="1" width="11" customWidth="1"/>
    <col min="2" max="10" width="17" customWidth="1"/>
  </cols>
  <sheetData>
    <row r="1" spans="1:10" ht="17.399999999999999" x14ac:dyDescent="0.3">
      <c r="A1" s="8" t="s">
        <v>38</v>
      </c>
    </row>
    <row r="2" spans="1:10" x14ac:dyDescent="0.3">
      <c r="A2" s="9" t="s">
        <v>39</v>
      </c>
    </row>
    <row r="4" spans="1:10" ht="34.049999999999997" customHeight="1" x14ac:dyDescent="0.3">
      <c r="A4" s="1" t="s">
        <v>1</v>
      </c>
      <c r="B4" s="1" t="s">
        <v>2</v>
      </c>
      <c r="C4" s="1" t="s">
        <v>3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</row>
    <row r="5" spans="1:10" x14ac:dyDescent="0.3">
      <c r="A5" s="2" t="s">
        <v>25</v>
      </c>
      <c r="B5" s="3">
        <v>400</v>
      </c>
      <c r="C5" s="3">
        <v>200</v>
      </c>
      <c r="D5" s="4">
        <f>IFERROR(AVERAGE(Datos!$M$2:$M$8),"")</f>
        <v>-40.157142857142851</v>
      </c>
      <c r="E5" s="4">
        <f>IFERROR(MAX(Datos!$M$2:$M$8)-MIN(Datos!$M$2:$M$8),"")</f>
        <v>0.10000000000000142</v>
      </c>
      <c r="F5" s="4">
        <f>IFERROR(AVERAGE(Datos!$P$2:$P$8),"")</f>
        <v>34.728571428571435</v>
      </c>
      <c r="G5" s="4">
        <f>IF(Datos!$O$2="","",Datos!$O$2)</f>
        <v>-55.3</v>
      </c>
      <c r="H5" s="4">
        <f>IF(Datos!$O$5="","",Datos!$O$5)</f>
        <v>-43.2</v>
      </c>
      <c r="I5" s="4">
        <f>IF(Datos!$O$8="","",Datos!$O$8)</f>
        <v>-38.700000000000003</v>
      </c>
      <c r="J5" s="4">
        <f>IF(Datos!$T$8="","",Datos!$T$8)</f>
        <v>-0.30196080028514061</v>
      </c>
    </row>
    <row r="6" spans="1:10" x14ac:dyDescent="0.3">
      <c r="A6" s="2" t="s">
        <v>28</v>
      </c>
      <c r="B6" s="3">
        <v>400</v>
      </c>
      <c r="C6" s="3">
        <v>600</v>
      </c>
      <c r="D6" s="4">
        <f>IFERROR(AVERAGE(Datos!$M$9:$M$11),"")</f>
        <v>-40.333333333333336</v>
      </c>
      <c r="E6" s="4">
        <f>IFERROR(MAX(Datos!$M$9:$M$11)-MIN(Datos!$M$9:$M$11),"")</f>
        <v>0.39999999999999858</v>
      </c>
      <c r="F6" s="4">
        <f>IFERROR(AVERAGE(Datos!$P$9:$P$11),"")</f>
        <v>34</v>
      </c>
      <c r="G6" s="4">
        <f>IF(Datos!$O$9="","",Datos!$O$9)</f>
        <v>-55.6</v>
      </c>
      <c r="H6" s="4">
        <f>IF(Datos!$O$10="","",Datos!$O$10)</f>
        <v>-43.9</v>
      </c>
      <c r="I6" s="4">
        <f>IF(Datos!$O$11="","",Datos!$O$11)</f>
        <v>-38.9</v>
      </c>
      <c r="J6" s="4">
        <f>IF(Datos!$T$11="","",Datos!$T$11)</f>
        <v>-0.20196080028513208</v>
      </c>
    </row>
    <row r="7" spans="1:10" x14ac:dyDescent="0.3">
      <c r="A7" s="2" t="s">
        <v>32</v>
      </c>
      <c r="B7" s="3">
        <v>600</v>
      </c>
      <c r="C7" s="3">
        <v>200</v>
      </c>
      <c r="D7" s="4">
        <f>IFERROR(AVERAGE(Datos!$M$13:$M$15),"")</f>
        <v>-41</v>
      </c>
      <c r="E7" s="4">
        <f>IFERROR(MAX(Datos!$M$13:$M$15)-MIN(Datos!$M$13:$M$15),"")</f>
        <v>0.30000000000000426</v>
      </c>
      <c r="F7" s="4">
        <f>IFERROR(AVERAGE(Datos!$P$13:$P$15),"")</f>
        <v>33.900000000000006</v>
      </c>
      <c r="G7" s="4">
        <f>IF(Datos!$O$13="","",Datos!$O$13)</f>
        <v>-55.6</v>
      </c>
      <c r="H7" s="4">
        <f>IF(Datos!$O$14="","",Datos!$O$14)</f>
        <v>-44.5</v>
      </c>
      <c r="I7" s="4">
        <f>IF(Datos!$O$15="","",Datos!$O$15)</f>
        <v>-38.6</v>
      </c>
      <c r="J7" s="4">
        <f>IF(Datos!$T$15="","",Datos!$T$15)</f>
        <v>9.8039199714865077E-2</v>
      </c>
    </row>
    <row r="8" spans="1:10" x14ac:dyDescent="0.3">
      <c r="A8" s="2" t="s">
        <v>34</v>
      </c>
      <c r="B8" s="3">
        <v>600</v>
      </c>
      <c r="C8" s="3">
        <v>600</v>
      </c>
      <c r="D8" s="4">
        <f>IFERROR(AVERAGE(Datos!$M$16:$M$18),"")</f>
        <v>-41</v>
      </c>
      <c r="E8" s="4">
        <f>IFERROR(MAX(Datos!$M$16:$M$18)-MIN(Datos!$M$16:$M$18),"")</f>
        <v>0.30000000000000426</v>
      </c>
      <c r="F8" s="4">
        <f>IFERROR(AVERAGE(Datos!$P$16:$P$18),"")</f>
        <v>31.8</v>
      </c>
      <c r="G8" s="4">
        <f>IF(Datos!$O$16="","",Datos!$O$16)</f>
        <v>-56.8</v>
      </c>
      <c r="H8" s="4">
        <f>IF(Datos!$O$17="","",Datos!$O$17)</f>
        <v>-44.7</v>
      </c>
      <c r="I8" s="4">
        <f>IF(Datos!$O$18="","",Datos!$O$18)</f>
        <v>-39.700000000000003</v>
      </c>
      <c r="J8" s="4">
        <f>IF(Datos!$T$18="","",Datos!$T$18)</f>
        <v>0.19803919971485939</v>
      </c>
    </row>
    <row r="10" spans="1:10" x14ac:dyDescent="0.3">
      <c r="A10" s="10" t="s">
        <v>47</v>
      </c>
      <c r="D10" s="11">
        <f>IF(Datos!$U$12="","",Datos!$U$12)</f>
        <v>0.29999999999999716</v>
      </c>
    </row>
    <row r="11" spans="1:10" x14ac:dyDescent="0.3">
      <c r="A11" s="10" t="s">
        <v>48</v>
      </c>
      <c r="D11" s="11">
        <f>IF(Datos!$U$19="","",Datos!$U$19)</f>
        <v>0.10000000000000142</v>
      </c>
    </row>
    <row r="13" spans="1:10" x14ac:dyDescent="0.3">
      <c r="A13" s="20"/>
      <c r="B13" s="21"/>
      <c r="C13" s="21"/>
      <c r="D13" s="21"/>
      <c r="E13" s="21"/>
      <c r="F13" s="21"/>
      <c r="G13" s="21"/>
      <c r="H13" s="21"/>
      <c r="I13" s="21"/>
      <c r="J13" s="21"/>
    </row>
    <row r="14" spans="1:10" x14ac:dyDescent="0.3">
      <c r="A14" s="22" t="s">
        <v>49</v>
      </c>
      <c r="B14" s="21"/>
      <c r="C14" s="21"/>
      <c r="D14" s="21"/>
      <c r="E14" s="21"/>
      <c r="F14" s="21"/>
      <c r="G14" s="21"/>
      <c r="H14" s="21"/>
      <c r="I14" s="21"/>
      <c r="J14" s="21"/>
    </row>
    <row r="15" spans="1:10" x14ac:dyDescent="0.3">
      <c r="A15" s="20" t="s">
        <v>50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0" x14ac:dyDescent="0.3">
      <c r="A16" s="20" t="s">
        <v>51</v>
      </c>
      <c r="B16" s="21"/>
      <c r="C16" s="21"/>
      <c r="D16" s="21"/>
      <c r="E16" s="21"/>
      <c r="F16" s="21"/>
      <c r="G16" s="21"/>
      <c r="H16" s="21"/>
      <c r="I16" s="21"/>
      <c r="J16" s="21"/>
    </row>
    <row r="17" spans="1:10" x14ac:dyDescent="0.3">
      <c r="A17" s="20" t="s">
        <v>52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x14ac:dyDescent="0.3">
      <c r="A18" s="20" t="s">
        <v>53</v>
      </c>
      <c r="B18" s="21"/>
      <c r="C18" s="21"/>
      <c r="D18" s="21"/>
      <c r="E18" s="21"/>
      <c r="F18" s="21"/>
      <c r="G18" s="21"/>
      <c r="H18" s="21"/>
      <c r="I18" s="21"/>
      <c r="J18" s="21"/>
    </row>
    <row r="19" spans="1:10" x14ac:dyDescent="0.3">
      <c r="A19" s="20" t="s">
        <v>54</v>
      </c>
      <c r="B19" s="21"/>
      <c r="C19" s="21"/>
      <c r="D19" s="21"/>
      <c r="E19" s="21"/>
      <c r="F19" s="21"/>
      <c r="G19" s="21"/>
      <c r="H19" s="21"/>
      <c r="I19" s="21"/>
      <c r="J19" s="21"/>
    </row>
  </sheetData>
  <mergeCells count="7">
    <mergeCell ref="A19:J19"/>
    <mergeCell ref="A16:J16"/>
    <mergeCell ref="A13:J13"/>
    <mergeCell ref="A14:J14"/>
    <mergeCell ref="A17:J17"/>
    <mergeCell ref="A18:J18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Ledesma</cp:lastModifiedBy>
  <dcterms:created xsi:type="dcterms:W3CDTF">2026-09-26T22:51:39Z</dcterms:created>
  <dcterms:modified xsi:type="dcterms:W3CDTF">2026-09-27T00:05:00Z</dcterms:modified>
</cp:coreProperties>
</file>