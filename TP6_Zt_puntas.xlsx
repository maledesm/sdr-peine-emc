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s\FIUBA\6to año\Compatibilidad Electromagnética\TPs\TP6_OE7_Punta_de_Corriente\"/>
    </mc:Choice>
  </mc:AlternateContent>
  <xr:revisionPtr revIDLastSave="0" documentId="13_ncr:1_{6C7DC6EB-390E-464A-8263-97979D90892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dición" sheetId="1" r:id="rId1"/>
    <sheet name="Datos del ensayo" sheetId="2" r:id="rId2"/>
    <sheet name="Gráfic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" l="1"/>
  <c r="B19" i="2"/>
  <c r="Q41" i="1"/>
  <c r="O41" i="1"/>
  <c r="M41" i="1"/>
  <c r="L41" i="1"/>
  <c r="K41" i="1"/>
  <c r="F41" i="1"/>
  <c r="C41" i="1"/>
  <c r="Q40" i="1"/>
  <c r="O40" i="1"/>
  <c r="M40" i="1"/>
  <c r="L40" i="1"/>
  <c r="K40" i="1"/>
  <c r="F40" i="1"/>
  <c r="C40" i="1"/>
  <c r="Q39" i="1"/>
  <c r="O39" i="1"/>
  <c r="M39" i="1"/>
  <c r="L39" i="1"/>
  <c r="K39" i="1"/>
  <c r="F39" i="1"/>
  <c r="C39" i="1"/>
  <c r="Q38" i="1"/>
  <c r="O38" i="1"/>
  <c r="M38" i="1"/>
  <c r="L38" i="1"/>
  <c r="K38" i="1"/>
  <c r="F38" i="1"/>
  <c r="C38" i="1"/>
  <c r="Q37" i="1"/>
  <c r="O37" i="1"/>
  <c r="M37" i="1"/>
  <c r="L37" i="1"/>
  <c r="K37" i="1"/>
  <c r="F37" i="1"/>
  <c r="C37" i="1"/>
  <c r="Q36" i="1"/>
  <c r="O36" i="1"/>
  <c r="M36" i="1"/>
  <c r="L36" i="1"/>
  <c r="K36" i="1"/>
  <c r="F36" i="1"/>
  <c r="C36" i="1"/>
  <c r="Q35" i="1"/>
  <c r="O35" i="1"/>
  <c r="L35" i="1"/>
  <c r="M35" i="1" s="1"/>
  <c r="K35" i="1"/>
  <c r="F35" i="1"/>
  <c r="C35" i="1"/>
  <c r="Q34" i="1"/>
  <c r="O34" i="1"/>
  <c r="M34" i="1"/>
  <c r="L34" i="1"/>
  <c r="K34" i="1"/>
  <c r="F34" i="1"/>
  <c r="C34" i="1"/>
  <c r="Q33" i="1"/>
  <c r="O33" i="1"/>
  <c r="M33" i="1"/>
  <c r="L33" i="1"/>
  <c r="K33" i="1"/>
  <c r="F33" i="1"/>
  <c r="C33" i="1"/>
  <c r="Q32" i="1"/>
  <c r="O32" i="1"/>
  <c r="M32" i="1"/>
  <c r="L32" i="1"/>
  <c r="K32" i="1"/>
  <c r="F32" i="1"/>
  <c r="C32" i="1"/>
  <c r="Q31" i="1"/>
  <c r="O31" i="1"/>
  <c r="K31" i="1"/>
  <c r="F31" i="1"/>
  <c r="C31" i="1"/>
  <c r="L31" i="1" s="1"/>
  <c r="M31" i="1" s="1"/>
  <c r="Q30" i="1"/>
  <c r="O30" i="1"/>
  <c r="M30" i="1"/>
  <c r="L30" i="1"/>
  <c r="K30" i="1"/>
  <c r="F30" i="1"/>
  <c r="C30" i="1"/>
  <c r="Q29" i="1"/>
  <c r="O29" i="1"/>
  <c r="M29" i="1"/>
  <c r="L29" i="1"/>
  <c r="K29" i="1"/>
  <c r="F29" i="1"/>
  <c r="C29" i="1"/>
  <c r="Q28" i="1"/>
  <c r="O28" i="1"/>
  <c r="M28" i="1"/>
  <c r="L28" i="1"/>
  <c r="K28" i="1"/>
  <c r="F28" i="1"/>
  <c r="C28" i="1"/>
  <c r="Q27" i="1"/>
  <c r="O27" i="1"/>
  <c r="M27" i="1"/>
  <c r="L27" i="1"/>
  <c r="K27" i="1"/>
  <c r="F27" i="1"/>
  <c r="C27" i="1"/>
  <c r="Q26" i="1"/>
  <c r="O26" i="1"/>
  <c r="M26" i="1"/>
  <c r="L26" i="1"/>
  <c r="K26" i="1"/>
  <c r="F26" i="1"/>
  <c r="C26" i="1"/>
  <c r="Q25" i="1"/>
  <c r="O25" i="1"/>
  <c r="M25" i="1"/>
  <c r="L25" i="1"/>
  <c r="K25" i="1"/>
  <c r="F25" i="1"/>
  <c r="C25" i="1"/>
  <c r="Q24" i="1"/>
  <c r="O24" i="1"/>
  <c r="L24" i="1"/>
  <c r="M24" i="1" s="1"/>
  <c r="K24" i="1"/>
  <c r="F24" i="1"/>
  <c r="C24" i="1"/>
  <c r="Q23" i="1"/>
  <c r="O23" i="1"/>
  <c r="K23" i="1"/>
  <c r="F23" i="1"/>
  <c r="C23" i="1"/>
  <c r="L23" i="1" s="1"/>
  <c r="M23" i="1" s="1"/>
  <c r="Q22" i="1"/>
  <c r="O22" i="1"/>
  <c r="M22" i="1"/>
  <c r="L22" i="1"/>
  <c r="K22" i="1"/>
  <c r="F22" i="1"/>
  <c r="C22" i="1"/>
  <c r="Q21" i="1"/>
  <c r="O21" i="1"/>
  <c r="L21" i="1"/>
  <c r="M21" i="1" s="1"/>
  <c r="K21" i="1"/>
  <c r="F21" i="1"/>
  <c r="C21" i="1"/>
  <c r="Q20" i="1"/>
  <c r="O20" i="1"/>
  <c r="L20" i="1"/>
  <c r="M20" i="1" s="1"/>
  <c r="K20" i="1"/>
  <c r="F20" i="1"/>
  <c r="C20" i="1"/>
  <c r="Q19" i="1"/>
  <c r="O19" i="1"/>
  <c r="L19" i="1"/>
  <c r="M19" i="1" s="1"/>
  <c r="K19" i="1"/>
  <c r="F19" i="1"/>
  <c r="C19" i="1"/>
  <c r="Q18" i="1"/>
  <c r="O18" i="1"/>
  <c r="L18" i="1"/>
  <c r="M18" i="1" s="1"/>
  <c r="K18" i="1"/>
  <c r="F18" i="1"/>
  <c r="C18" i="1"/>
  <c r="Q17" i="1"/>
  <c r="O17" i="1"/>
  <c r="K17" i="1"/>
  <c r="F17" i="1"/>
  <c r="C17" i="1"/>
  <c r="L17" i="1" s="1"/>
  <c r="M17" i="1" s="1"/>
  <c r="Q16" i="1"/>
  <c r="O16" i="1"/>
  <c r="L16" i="1"/>
  <c r="M16" i="1" s="1"/>
  <c r="K16" i="1"/>
  <c r="F16" i="1"/>
  <c r="C16" i="1"/>
  <c r="Q15" i="1"/>
  <c r="O15" i="1"/>
  <c r="L15" i="1"/>
  <c r="M15" i="1" s="1"/>
  <c r="K15" i="1"/>
  <c r="F15" i="1"/>
  <c r="C15" i="1"/>
  <c r="Q14" i="1"/>
  <c r="O14" i="1"/>
  <c r="L14" i="1"/>
  <c r="M14" i="1" s="1"/>
  <c r="K14" i="1"/>
  <c r="F14" i="1"/>
  <c r="C14" i="1"/>
  <c r="Q13" i="1"/>
  <c r="O13" i="1"/>
  <c r="L13" i="1"/>
  <c r="M13" i="1" s="1"/>
  <c r="K13" i="1"/>
  <c r="F13" i="1"/>
  <c r="C13" i="1"/>
  <c r="Q12" i="1"/>
  <c r="O12" i="1"/>
  <c r="K12" i="1"/>
  <c r="F12" i="1"/>
  <c r="C12" i="1"/>
  <c r="L12" i="1" s="1"/>
  <c r="M12" i="1" s="1"/>
  <c r="Q11" i="1"/>
  <c r="O11" i="1"/>
  <c r="K11" i="1"/>
  <c r="F11" i="1"/>
  <c r="C11" i="1"/>
  <c r="L11" i="1" s="1"/>
  <c r="M11" i="1" s="1"/>
  <c r="Q10" i="1"/>
  <c r="O10" i="1"/>
  <c r="K10" i="1"/>
  <c r="F10" i="1"/>
  <c r="C10" i="1"/>
  <c r="G5" i="1"/>
  <c r="G41" i="1" l="1"/>
  <c r="H41" i="1" s="1"/>
  <c r="G40" i="1"/>
  <c r="H40" i="1" s="1"/>
  <c r="G30" i="1"/>
  <c r="H30" i="1" s="1"/>
  <c r="G39" i="1"/>
  <c r="H39" i="1" s="1"/>
  <c r="G38" i="1"/>
  <c r="H38" i="1" s="1"/>
  <c r="G37" i="1"/>
  <c r="H37" i="1" s="1"/>
  <c r="L10" i="1"/>
  <c r="M10" i="1" s="1"/>
  <c r="G32" i="1"/>
  <c r="H32" i="1" s="1"/>
  <c r="G28" i="1"/>
  <c r="H28" i="1" s="1"/>
  <c r="G24" i="1"/>
  <c r="H24" i="1" s="1"/>
  <c r="G35" i="1"/>
  <c r="H35" i="1" s="1"/>
  <c r="G21" i="1"/>
  <c r="H21" i="1" s="1"/>
  <c r="G18" i="1"/>
  <c r="H18" i="1" s="1"/>
  <c r="G10" i="1"/>
  <c r="H10" i="1" s="1"/>
  <c r="G36" i="1"/>
  <c r="H36" i="1" s="1"/>
  <c r="G17" i="1"/>
  <c r="H17" i="1" s="1"/>
  <c r="G16" i="1"/>
  <c r="H16" i="1" s="1"/>
  <c r="G13" i="1"/>
  <c r="H13" i="1" s="1"/>
  <c r="G33" i="1"/>
  <c r="H33" i="1" s="1"/>
  <c r="G27" i="1"/>
  <c r="H27" i="1" s="1"/>
  <c r="G31" i="1"/>
  <c r="H31" i="1" s="1"/>
  <c r="G29" i="1"/>
  <c r="H29" i="1" s="1"/>
  <c r="G12" i="1"/>
  <c r="H12" i="1" s="1"/>
  <c r="G11" i="1"/>
  <c r="H11" i="1" s="1"/>
  <c r="G25" i="1"/>
  <c r="H25" i="1" s="1"/>
  <c r="G23" i="1"/>
  <c r="H23" i="1" s="1"/>
  <c r="G22" i="1"/>
  <c r="H22" i="1" s="1"/>
  <c r="G20" i="1"/>
  <c r="H20" i="1" s="1"/>
  <c r="G19" i="1"/>
  <c r="H19" i="1" s="1"/>
  <c r="G15" i="1"/>
  <c r="H15" i="1" s="1"/>
  <c r="G14" i="1"/>
  <c r="H14" i="1" s="1"/>
  <c r="G34" i="1"/>
  <c r="H34" i="1" s="1"/>
  <c r="G26" i="1"/>
  <c r="H26" i="1" s="1"/>
</calcChain>
</file>

<file path=xl/sharedStrings.xml><?xml version="1.0" encoding="utf-8"?>
<sst xmlns="http://schemas.openxmlformats.org/spreadsheetml/2006/main" count="104" uniqueCount="93">
  <si>
    <t>TP6 OE7. Impedancia de transferencia de puntas de corriente</t>
  </si>
  <si>
    <t>Nivel del generador por defecto (dBm)</t>
  </si>
  <si>
    <t>Pérdida de cables y JIG, L (dB)</t>
  </si>
  <si>
    <t>20·log10(50 Ω) (dB)</t>
  </si>
  <si>
    <t>Umbral de margen sobre el piso (dB)</t>
  </si>
  <si>
    <t>Frecuencia y generador</t>
  </si>
  <si>
    <t>Punta A</t>
  </si>
  <si>
    <t>Punta B</t>
  </si>
  <si>
    <t>Método CISPR con V1 medida (opcional)</t>
  </si>
  <si>
    <t>Hoja de datos (opcional)</t>
  </si>
  <si>
    <t>N°</t>
  </si>
  <si>
    <t>f (MHz)</t>
  </si>
  <si>
    <t>P_gen (dBm)</t>
  </si>
  <si>
    <t>P_SA A (dBm)</t>
  </si>
  <si>
    <t>Piso A (dBm)</t>
  </si>
  <si>
    <t>Margen A (dB)</t>
  </si>
  <si>
    <t>Zt A (dBΩ)</t>
  </si>
  <si>
    <t>Zt A (Ω)</t>
  </si>
  <si>
    <t>P_SA B (dBm)</t>
  </si>
  <si>
    <t>Piso B (dBm)</t>
  </si>
  <si>
    <t>Margen B (dB)</t>
  </si>
  <si>
    <t>Zt B (dBΩ)</t>
  </si>
  <si>
    <t>Zt B (Ω)</t>
  </si>
  <si>
    <t>P_V1 con A (dBm)</t>
  </si>
  <si>
    <t>Zt A con V1 (dBΩ)</t>
  </si>
  <si>
    <t>P_V1 con B (dBm)</t>
  </si>
  <si>
    <t>Zt B con V1 (dBΩ)</t>
  </si>
  <si>
    <t>Zt hoja A (dBΩ)</t>
  </si>
  <si>
    <t>Zt hoja B (dBΩ)</t>
  </si>
  <si>
    <t>Notas</t>
  </si>
  <si>
    <t>Cómo usar la planilla</t>
  </si>
  <si>
    <t>Las celdas amarillas se completan a mano. Las blancas tienen fórmulas y no se tocan.</t>
  </si>
  <si>
    <t>P_gen toma el valor de G3. Para cambiarlo en una frecuencia, escribir el número encima de la fórmula de esa fila.</t>
  </si>
  <si>
    <t>Zt (dBΩ) = P_SA − P_gen + 20·log10(50) + L. Zt (Ω) = 10^(Zt dBΩ / 20).</t>
  </si>
  <si>
    <t>L es la suma de la pérdida del cable generador-JIG y del cable punta-analizador. Va positiva.</t>
  </si>
  <si>
    <t>Ejemplo de carga: P_gen = 0 dBm, P_SA = −40,2 dBm, piso = −112,5 dBm. Da margen de 72,3 dB y Zt = −6,2 dBΩ (0,489 Ω).</t>
  </si>
  <si>
    <t>El piso se mide con el RF del generador apagado, detector de promedio y el marcador fijo en la frecuencia (sin búsqueda de pico).</t>
  </si>
  <si>
    <t>La celda del margen se pinta de rojo cuando es menor que el umbral de G6.</t>
  </si>
  <si>
    <t>Las celdas con #N/A en gris son filas sin datos. Excel no las grafica.</t>
  </si>
  <si>
    <t>Método CISPR: con la punta puesta y su salida cerrada en 50 Ω, sacar la terminación del JIG y conectar ahí el analizador (nivel de referencia +10 dBm, atenuación 20 dB).</t>
  </si>
  <si>
    <t>Usar el mismo cable al analizador en las dos mediciones. Zt = P_SA − P_V1 + 20·log10(50). No depende del nivel del generador ni de L.</t>
  </si>
  <si>
    <t>Hoja de datos: cargar la Zt del fabricante en dBΩ. Si la hoja da el factor de corrección en dB(µA/µV), cargarlo con el signo cambiado.</t>
  </si>
  <si>
    <t>Datos del ensayo</t>
  </si>
  <si>
    <t>Campo</t>
  </si>
  <si>
    <t>Valor</t>
  </si>
  <si>
    <t>Referencia o valor recomendado</t>
  </si>
  <si>
    <t>General</t>
  </si>
  <si>
    <t>Fecha</t>
  </si>
  <si>
    <t>Lugar</t>
  </si>
  <si>
    <t>Operadores</t>
  </si>
  <si>
    <t>Temperatura ambiente (°C)</t>
  </si>
  <si>
    <t>Modelo</t>
  </si>
  <si>
    <t>Número de serie</t>
  </si>
  <si>
    <t>Rango declarado</t>
  </si>
  <si>
    <t>9 kHz a 90 MHz</t>
  </si>
  <si>
    <t>Generador</t>
  </si>
  <si>
    <t>RIGOL DSG830</t>
  </si>
  <si>
    <t>Nivel por defecto (dBm)</t>
  </si>
  <si>
    <t>Se cambia en la hoja Medición, celda G3</t>
  </si>
  <si>
    <t>Modulación</t>
  </si>
  <si>
    <t>Apagada</t>
  </si>
  <si>
    <t>Analizador de espectro</t>
  </si>
  <si>
    <t>Siglent SSA3032X</t>
  </si>
  <si>
    <t>RBW</t>
  </si>
  <si>
    <t>1 kHz</t>
  </si>
  <si>
    <t>VBW</t>
  </si>
  <si>
    <t>Span</t>
  </si>
  <si>
    <t>10 kHz, centrado en la frecuencia del generador</t>
  </si>
  <si>
    <t>Nivel de referencia</t>
  </si>
  <si>
    <t>−10 dBm (+10 dBm para medir V1)</t>
  </si>
  <si>
    <t>Atenuación de entrada</t>
  </si>
  <si>
    <t>10 dB (20 dB para medir V1)</t>
  </si>
  <si>
    <t>Preamplificador</t>
  </si>
  <si>
    <t>Apagado</t>
  </si>
  <si>
    <t>Detector con señal</t>
  </si>
  <si>
    <t>Pico positivo, búsqueda de pico</t>
  </si>
  <si>
    <t>Detector para el piso</t>
  </si>
  <si>
    <t>Promedio (RMS), 10 promedios, marcador fijo</t>
  </si>
  <si>
    <t>JIG y cables</t>
  </si>
  <si>
    <t>Descripción del JIG</t>
  </si>
  <si>
    <t>RG58 con un tramo de 10 cm donde se separan vivo y malla, a 5 cm entre sí. La punta rodea un solo conductor. Los dos se juntan en una terminación de 50 Ω.</t>
  </si>
  <si>
    <t>Conductor abrazado</t>
  </si>
  <si>
    <t>Vivo (recomendado)</t>
  </si>
  <si>
    <t>Posición de la punta en el tramo</t>
  </si>
  <si>
    <t>Marcarla y repetirla en las dos puntas</t>
  </si>
  <si>
    <t>Terminación de 50 Ω (modelo)</t>
  </si>
  <si>
    <t>Cable generador-JIG (largo y tipo)</t>
  </si>
  <si>
    <t>Cable punta-analizador (largo y tipo)</t>
  </si>
  <si>
    <t>Se cambia en la hoja Medición, celda G4</t>
  </si>
  <si>
    <t>Observaciones</t>
  </si>
  <si>
    <t>Laboratorio de Gustavo Fano</t>
  </si>
  <si>
    <t>Martín Ledesma</t>
  </si>
  <si>
    <t>5dBm para la punta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</si>
</sst>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sz val="10"/>
      <color rgb="FF595959"/>
      <name val="Arial"/>
    </font>
    <font>
      <sz val="10"/>
      <color rgb="FF008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CE9F8"/>
      </patternFill>
    </fill>
    <fill>
      <patternFill patternType="solid">
        <fgColor rgb="FFFBE3D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1" xfId="0" applyNumberFormat="1" applyFont="1" applyFill="1" applyBorder="1"/>
    <xf numFmtId="2" fontId="3" fillId="2" borderId="1" xfId="0" applyNumberFormat="1" applyFont="1" applyFill="1" applyBorder="1"/>
    <xf numFmtId="2" fontId="4" fillId="0" borderId="1" xfId="0" applyNumberFormat="1" applyFont="1" applyBorder="1"/>
    <xf numFmtId="1" fontId="3" fillId="2" borderId="1" xfId="0" applyNumberFormat="1" applyFont="1" applyFill="1" applyBorder="1"/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/>
    <xf numFmtId="165" fontId="4" fillId="0" borderId="1" xfId="0" applyNumberFormat="1" applyFont="1" applyBorder="1"/>
    <xf numFmtId="0" fontId="3" fillId="2" borderId="1" xfId="0" applyFont="1" applyFill="1" applyBorder="1"/>
    <xf numFmtId="0" fontId="4" fillId="0" borderId="0" xfId="0" applyFont="1"/>
    <xf numFmtId="0" fontId="2" fillId="3" borderId="0" xfId="0" applyFont="1" applyFill="1"/>
    <xf numFmtId="0" fontId="4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/>
    <xf numFmtId="164" fontId="6" fillId="0" borderId="1" xfId="0" applyNumberFormat="1" applyFont="1" applyBorder="1" applyAlignment="1">
      <alignment horizontal="left"/>
    </xf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2" fillId="6" borderId="0" xfId="0" applyFont="1" applyFill="1" applyAlignment="1">
      <alignment horizontal="center" vertical="center" wrapText="1"/>
    </xf>
    <xf numFmtId="0" fontId="2" fillId="0" borderId="0" xfId="0" applyFont="1"/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4" fontId="3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6">
    <dxf>
      <font>
        <sz val="10"/>
        <color rgb="FFD9D9D9"/>
        <name val="Arial"/>
      </font>
    </dxf>
    <dxf>
      <font>
        <sz val="10"/>
        <color rgb="FFD9D9D9"/>
        <name val="Arial"/>
      </font>
    </dxf>
    <dxf>
      <font>
        <sz val="10"/>
        <color rgb="FFD9D9D9"/>
        <name val="Arial"/>
      </font>
    </dxf>
    <dxf>
      <fill>
        <patternFill patternType="solid">
          <fgColor rgb="FFF8D0D0"/>
        </patternFill>
      </fill>
    </dxf>
    <dxf>
      <font>
        <sz val="10"/>
        <color rgb="FFD9D9D9"/>
        <name val="Arial"/>
      </font>
    </dxf>
    <dxf>
      <fill>
        <patternFill patternType="solid">
          <fgColor rgb="FFF8D0D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Impedancia de transferencia de las puntas A y 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Punta A</c:v>
          </c:tx>
          <c:spPr>
            <a:ln w="22000">
              <a:solidFill>
                <a:srgbClr val="2A78D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xVal>
            <c:numRef>
              <c:f>Medición!$B$10:$B$41</c:f>
              <c:numCache>
                <c:formatCode>General</c:formatCode>
                <c:ptCount val="32"/>
                <c:pt idx="0">
                  <c:v>1</c:v>
                </c:pt>
                <c:pt idx="1">
                  <c:v>1.25</c:v>
                </c:pt>
                <c:pt idx="2">
                  <c:v>1.6</c:v>
                </c:pt>
                <c:pt idx="3">
                  <c:v>2</c:v>
                </c:pt>
                <c:pt idx="4">
                  <c:v>2.5</c:v>
                </c:pt>
                <c:pt idx="5">
                  <c:v>3.15</c:v>
                </c:pt>
                <c:pt idx="6">
                  <c:v>4</c:v>
                </c:pt>
                <c:pt idx="7">
                  <c:v>5</c:v>
                </c:pt>
                <c:pt idx="8">
                  <c:v>6.3</c:v>
                </c:pt>
                <c:pt idx="9">
                  <c:v>8</c:v>
                </c:pt>
                <c:pt idx="10">
                  <c:v>10</c:v>
                </c:pt>
                <c:pt idx="11">
                  <c:v>12.5</c:v>
                </c:pt>
                <c:pt idx="12">
                  <c:v>16</c:v>
                </c:pt>
                <c:pt idx="13">
                  <c:v>20</c:v>
                </c:pt>
                <c:pt idx="14">
                  <c:v>22.4</c:v>
                </c:pt>
                <c:pt idx="15">
                  <c:v>25</c:v>
                </c:pt>
                <c:pt idx="16">
                  <c:v>28</c:v>
                </c:pt>
                <c:pt idx="17">
                  <c:v>31.5</c:v>
                </c:pt>
                <c:pt idx="18">
                  <c:v>35.5</c:v>
                </c:pt>
                <c:pt idx="19">
                  <c:v>40</c:v>
                </c:pt>
                <c:pt idx="20">
                  <c:v>45</c:v>
                </c:pt>
                <c:pt idx="21">
                  <c:v>50</c:v>
                </c:pt>
                <c:pt idx="22">
                  <c:v>56</c:v>
                </c:pt>
                <c:pt idx="23">
                  <c:v>63</c:v>
                </c:pt>
                <c:pt idx="24">
                  <c:v>71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112</c:v>
                </c:pt>
                <c:pt idx="29">
                  <c:v>125</c:v>
                </c:pt>
                <c:pt idx="30">
                  <c:v>140</c:v>
                </c:pt>
                <c:pt idx="31">
                  <c:v>150</c:v>
                </c:pt>
              </c:numCache>
            </c:numRef>
          </c:xVal>
          <c:yVal>
            <c:numRef>
              <c:f>Medición!$G$10:$G$41</c:f>
              <c:numCache>
                <c:formatCode>0.0</c:formatCode>
                <c:ptCount val="32"/>
                <c:pt idx="0">
                  <c:v>-32.020599913279625</c:v>
                </c:pt>
                <c:pt idx="1">
                  <c:v>-30.020599913279625</c:v>
                </c:pt>
                <c:pt idx="2">
                  <c:v>-28.020599913279625</c:v>
                </c:pt>
                <c:pt idx="3">
                  <c:v>-26.020599913279625</c:v>
                </c:pt>
                <c:pt idx="4">
                  <c:v>-24.020599913279625</c:v>
                </c:pt>
                <c:pt idx="5">
                  <c:v>-22.020599913279625</c:v>
                </c:pt>
                <c:pt idx="6">
                  <c:v>-19.520599913279625</c:v>
                </c:pt>
                <c:pt idx="7">
                  <c:v>-18.020599913279625</c:v>
                </c:pt>
                <c:pt idx="8">
                  <c:v>-15.520599913279625</c:v>
                </c:pt>
                <c:pt idx="9">
                  <c:v>-12.420599913279624</c:v>
                </c:pt>
                <c:pt idx="10">
                  <c:v>-9.4205999132796236</c:v>
                </c:pt>
                <c:pt idx="11">
                  <c:v>-8.0205999132796251</c:v>
                </c:pt>
                <c:pt idx="12">
                  <c:v>-4.5205999132796251</c:v>
                </c:pt>
                <c:pt idx="13">
                  <c:v>-0.32059991327962223</c:v>
                </c:pt>
                <c:pt idx="14">
                  <c:v>1.4794000867203749</c:v>
                </c:pt>
                <c:pt idx="15">
                  <c:v>1.5794000867203764</c:v>
                </c:pt>
                <c:pt idx="16">
                  <c:v>2.4794000867203749</c:v>
                </c:pt>
                <c:pt idx="17">
                  <c:v>2.9794000867203749</c:v>
                </c:pt>
                <c:pt idx="18">
                  <c:v>1.8794000867203735</c:v>
                </c:pt>
                <c:pt idx="19">
                  <c:v>1.6794000867203778</c:v>
                </c:pt>
                <c:pt idx="20">
                  <c:v>1.8794000867203735</c:v>
                </c:pt>
                <c:pt idx="21">
                  <c:v>2.7794000867203756</c:v>
                </c:pt>
                <c:pt idx="22">
                  <c:v>4.3794000867203735</c:v>
                </c:pt>
                <c:pt idx="23">
                  <c:v>5.9794000867203749</c:v>
                </c:pt>
                <c:pt idx="24">
                  <c:v>6.4794000867203749</c:v>
                </c:pt>
                <c:pt idx="25">
                  <c:v>4.3794000867203735</c:v>
                </c:pt>
                <c:pt idx="26">
                  <c:v>0.97940008672037493</c:v>
                </c:pt>
                <c:pt idx="27">
                  <c:v>-1.0205999132796251</c:v>
                </c:pt>
                <c:pt idx="28">
                  <c:v>-3.5205999132796251</c:v>
                </c:pt>
                <c:pt idx="29">
                  <c:v>-3.4205999132796236</c:v>
                </c:pt>
                <c:pt idx="30">
                  <c:v>-12.120599913279626</c:v>
                </c:pt>
                <c:pt idx="31">
                  <c:v>-1.6205999132796265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68-4E1D-B230-1E386BC09C01}"/>
            </c:ext>
          </c:extLst>
        </c:ser>
        <c:ser>
          <c:idx val="1"/>
          <c:order val="1"/>
          <c:tx>
            <c:v>Punta B</c:v>
          </c:tx>
          <c:spPr>
            <a:ln w="22000">
              <a:solidFill>
                <a:srgbClr val="EB683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c:spPr>
          </c:marker>
          <c:xVal>
            <c:numRef>
              <c:f>Medición!$B$10:$B$41</c:f>
              <c:numCache>
                <c:formatCode>General</c:formatCode>
                <c:ptCount val="32"/>
                <c:pt idx="0">
                  <c:v>1</c:v>
                </c:pt>
                <c:pt idx="1">
                  <c:v>1.25</c:v>
                </c:pt>
                <c:pt idx="2">
                  <c:v>1.6</c:v>
                </c:pt>
                <c:pt idx="3">
                  <c:v>2</c:v>
                </c:pt>
                <c:pt idx="4">
                  <c:v>2.5</c:v>
                </c:pt>
                <c:pt idx="5">
                  <c:v>3.15</c:v>
                </c:pt>
                <c:pt idx="6">
                  <c:v>4</c:v>
                </c:pt>
                <c:pt idx="7">
                  <c:v>5</c:v>
                </c:pt>
                <c:pt idx="8">
                  <c:v>6.3</c:v>
                </c:pt>
                <c:pt idx="9">
                  <c:v>8</c:v>
                </c:pt>
                <c:pt idx="10">
                  <c:v>10</c:v>
                </c:pt>
                <c:pt idx="11">
                  <c:v>12.5</c:v>
                </c:pt>
                <c:pt idx="12">
                  <c:v>16</c:v>
                </c:pt>
                <c:pt idx="13">
                  <c:v>20</c:v>
                </c:pt>
                <c:pt idx="14">
                  <c:v>22.4</c:v>
                </c:pt>
                <c:pt idx="15">
                  <c:v>25</c:v>
                </c:pt>
                <c:pt idx="16">
                  <c:v>28</c:v>
                </c:pt>
                <c:pt idx="17">
                  <c:v>31.5</c:v>
                </c:pt>
                <c:pt idx="18">
                  <c:v>35.5</c:v>
                </c:pt>
                <c:pt idx="19">
                  <c:v>40</c:v>
                </c:pt>
                <c:pt idx="20">
                  <c:v>45</c:v>
                </c:pt>
                <c:pt idx="21">
                  <c:v>50</c:v>
                </c:pt>
                <c:pt idx="22">
                  <c:v>56</c:v>
                </c:pt>
                <c:pt idx="23">
                  <c:v>63</c:v>
                </c:pt>
                <c:pt idx="24">
                  <c:v>71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112</c:v>
                </c:pt>
                <c:pt idx="29">
                  <c:v>125</c:v>
                </c:pt>
                <c:pt idx="30">
                  <c:v>140</c:v>
                </c:pt>
                <c:pt idx="31">
                  <c:v>150</c:v>
                </c:pt>
              </c:numCache>
            </c:numRef>
          </c:xVal>
          <c:yVal>
            <c:numRef>
              <c:f>Medición!$L$10:$L$41</c:f>
              <c:numCache>
                <c:formatCode>0.0</c:formatCode>
                <c:ptCount val="32"/>
                <c:pt idx="0">
                  <c:v>-4.0205999132796251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-3.5205999132796251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-2.5205999132796251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-10.520599913279625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-16.020599913279625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8-4E1D-B230-1E386BC09C01}"/>
            </c:ext>
          </c:extLst>
        </c:ser>
        <c:ser>
          <c:idx val="2"/>
          <c:order val="2"/>
          <c:tx>
            <c:v>Punta A con V1</c:v>
          </c:tx>
          <c:spPr>
            <a:ln>
              <a:noFill/>
              <a:prstDash val="solid"/>
            </a:ln>
          </c:spPr>
          <c:marker>
            <c:symbol val="triangle"/>
            <c:size val="6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xVal>
            <c:numRef>
              <c:f>Medición!$B$10:$B$41</c:f>
              <c:numCache>
                <c:formatCode>General</c:formatCode>
                <c:ptCount val="32"/>
                <c:pt idx="0">
                  <c:v>1</c:v>
                </c:pt>
                <c:pt idx="1">
                  <c:v>1.25</c:v>
                </c:pt>
                <c:pt idx="2">
                  <c:v>1.6</c:v>
                </c:pt>
                <c:pt idx="3">
                  <c:v>2</c:v>
                </c:pt>
                <c:pt idx="4">
                  <c:v>2.5</c:v>
                </c:pt>
                <c:pt idx="5">
                  <c:v>3.15</c:v>
                </c:pt>
                <c:pt idx="6">
                  <c:v>4</c:v>
                </c:pt>
                <c:pt idx="7">
                  <c:v>5</c:v>
                </c:pt>
                <c:pt idx="8">
                  <c:v>6.3</c:v>
                </c:pt>
                <c:pt idx="9">
                  <c:v>8</c:v>
                </c:pt>
                <c:pt idx="10">
                  <c:v>10</c:v>
                </c:pt>
                <c:pt idx="11">
                  <c:v>12.5</c:v>
                </c:pt>
                <c:pt idx="12">
                  <c:v>16</c:v>
                </c:pt>
                <c:pt idx="13">
                  <c:v>20</c:v>
                </c:pt>
                <c:pt idx="14">
                  <c:v>22.4</c:v>
                </c:pt>
                <c:pt idx="15">
                  <c:v>25</c:v>
                </c:pt>
                <c:pt idx="16">
                  <c:v>28</c:v>
                </c:pt>
                <c:pt idx="17">
                  <c:v>31.5</c:v>
                </c:pt>
                <c:pt idx="18">
                  <c:v>35.5</c:v>
                </c:pt>
                <c:pt idx="19">
                  <c:v>40</c:v>
                </c:pt>
                <c:pt idx="20">
                  <c:v>45</c:v>
                </c:pt>
                <c:pt idx="21">
                  <c:v>50</c:v>
                </c:pt>
                <c:pt idx="22">
                  <c:v>56</c:v>
                </c:pt>
                <c:pt idx="23">
                  <c:v>63</c:v>
                </c:pt>
                <c:pt idx="24">
                  <c:v>71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112</c:v>
                </c:pt>
                <c:pt idx="29">
                  <c:v>125</c:v>
                </c:pt>
                <c:pt idx="30">
                  <c:v>140</c:v>
                </c:pt>
                <c:pt idx="31">
                  <c:v>150</c:v>
                </c:pt>
              </c:numCache>
            </c:numRef>
          </c:xVal>
          <c:yVal>
            <c:numRef>
              <c:f>Medición!$O$10:$O$41</c:f>
              <c:numCache>
                <c:formatCode>0.0</c:formatCode>
                <c:ptCount val="3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68-4E1D-B230-1E386BC09C01}"/>
            </c:ext>
          </c:extLst>
        </c:ser>
        <c:ser>
          <c:idx val="3"/>
          <c:order val="3"/>
          <c:tx>
            <c:v>Punta B con V1</c:v>
          </c:tx>
          <c:spPr>
            <a:ln>
              <a:noFill/>
              <a:prstDash val="solid"/>
            </a:ln>
          </c:spPr>
          <c:marker>
            <c:symbol val="triangle"/>
            <c:size val="6"/>
            <c: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c:spPr>
          </c:marker>
          <c:xVal>
            <c:numRef>
              <c:f>Medición!$B$10:$B$41</c:f>
              <c:numCache>
                <c:formatCode>General</c:formatCode>
                <c:ptCount val="32"/>
                <c:pt idx="0">
                  <c:v>1</c:v>
                </c:pt>
                <c:pt idx="1">
                  <c:v>1.25</c:v>
                </c:pt>
                <c:pt idx="2">
                  <c:v>1.6</c:v>
                </c:pt>
                <c:pt idx="3">
                  <c:v>2</c:v>
                </c:pt>
                <c:pt idx="4">
                  <c:v>2.5</c:v>
                </c:pt>
                <c:pt idx="5">
                  <c:v>3.15</c:v>
                </c:pt>
                <c:pt idx="6">
                  <c:v>4</c:v>
                </c:pt>
                <c:pt idx="7">
                  <c:v>5</c:v>
                </c:pt>
                <c:pt idx="8">
                  <c:v>6.3</c:v>
                </c:pt>
                <c:pt idx="9">
                  <c:v>8</c:v>
                </c:pt>
                <c:pt idx="10">
                  <c:v>10</c:v>
                </c:pt>
                <c:pt idx="11">
                  <c:v>12.5</c:v>
                </c:pt>
                <c:pt idx="12">
                  <c:v>16</c:v>
                </c:pt>
                <c:pt idx="13">
                  <c:v>20</c:v>
                </c:pt>
                <c:pt idx="14">
                  <c:v>22.4</c:v>
                </c:pt>
                <c:pt idx="15">
                  <c:v>25</c:v>
                </c:pt>
                <c:pt idx="16">
                  <c:v>28</c:v>
                </c:pt>
                <c:pt idx="17">
                  <c:v>31.5</c:v>
                </c:pt>
                <c:pt idx="18">
                  <c:v>35.5</c:v>
                </c:pt>
                <c:pt idx="19">
                  <c:v>40</c:v>
                </c:pt>
                <c:pt idx="20">
                  <c:v>45</c:v>
                </c:pt>
                <c:pt idx="21">
                  <c:v>50</c:v>
                </c:pt>
                <c:pt idx="22">
                  <c:v>56</c:v>
                </c:pt>
                <c:pt idx="23">
                  <c:v>63</c:v>
                </c:pt>
                <c:pt idx="24">
                  <c:v>71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112</c:v>
                </c:pt>
                <c:pt idx="29">
                  <c:v>125</c:v>
                </c:pt>
                <c:pt idx="30">
                  <c:v>140</c:v>
                </c:pt>
                <c:pt idx="31">
                  <c:v>150</c:v>
                </c:pt>
              </c:numCache>
            </c:numRef>
          </c:xVal>
          <c:yVal>
            <c:numRef>
              <c:f>Medición!$Q$10:$Q$41</c:f>
              <c:numCache>
                <c:formatCode>0.0</c:formatCode>
                <c:ptCount val="3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68-4E1D-B230-1E386BC09C01}"/>
            </c:ext>
          </c:extLst>
        </c:ser>
        <c:ser>
          <c:idx val="4"/>
          <c:order val="4"/>
          <c:tx>
            <c:v>Hoja de datos A</c:v>
          </c:tx>
          <c:spPr>
            <a:ln w="22000">
              <a:solidFill>
                <a:srgbClr val="2A78D6"/>
              </a:solidFill>
              <a:prstDash val="dash"/>
            </a:ln>
          </c:spPr>
          <c:marker>
            <c:symbol val="none"/>
          </c:marker>
          <c:xVal>
            <c:numRef>
              <c:f>Medición!$B$10:$B$41</c:f>
              <c:numCache>
                <c:formatCode>General</c:formatCode>
                <c:ptCount val="32"/>
                <c:pt idx="0">
                  <c:v>1</c:v>
                </c:pt>
                <c:pt idx="1">
                  <c:v>1.25</c:v>
                </c:pt>
                <c:pt idx="2">
                  <c:v>1.6</c:v>
                </c:pt>
                <c:pt idx="3">
                  <c:v>2</c:v>
                </c:pt>
                <c:pt idx="4">
                  <c:v>2.5</c:v>
                </c:pt>
                <c:pt idx="5">
                  <c:v>3.15</c:v>
                </c:pt>
                <c:pt idx="6">
                  <c:v>4</c:v>
                </c:pt>
                <c:pt idx="7">
                  <c:v>5</c:v>
                </c:pt>
                <c:pt idx="8">
                  <c:v>6.3</c:v>
                </c:pt>
                <c:pt idx="9">
                  <c:v>8</c:v>
                </c:pt>
                <c:pt idx="10">
                  <c:v>10</c:v>
                </c:pt>
                <c:pt idx="11">
                  <c:v>12.5</c:v>
                </c:pt>
                <c:pt idx="12">
                  <c:v>16</c:v>
                </c:pt>
                <c:pt idx="13">
                  <c:v>20</c:v>
                </c:pt>
                <c:pt idx="14">
                  <c:v>22.4</c:v>
                </c:pt>
                <c:pt idx="15">
                  <c:v>25</c:v>
                </c:pt>
                <c:pt idx="16">
                  <c:v>28</c:v>
                </c:pt>
                <c:pt idx="17">
                  <c:v>31.5</c:v>
                </c:pt>
                <c:pt idx="18">
                  <c:v>35.5</c:v>
                </c:pt>
                <c:pt idx="19">
                  <c:v>40</c:v>
                </c:pt>
                <c:pt idx="20">
                  <c:v>45</c:v>
                </c:pt>
                <c:pt idx="21">
                  <c:v>50</c:v>
                </c:pt>
                <c:pt idx="22">
                  <c:v>56</c:v>
                </c:pt>
                <c:pt idx="23">
                  <c:v>63</c:v>
                </c:pt>
                <c:pt idx="24">
                  <c:v>71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112</c:v>
                </c:pt>
                <c:pt idx="29">
                  <c:v>125</c:v>
                </c:pt>
                <c:pt idx="30">
                  <c:v>140</c:v>
                </c:pt>
                <c:pt idx="31">
                  <c:v>150</c:v>
                </c:pt>
              </c:numCache>
            </c:numRef>
          </c:xVal>
          <c:yVal>
            <c:numRef>
              <c:f>Medición!$R$10:$R$41</c:f>
              <c:numCache>
                <c:formatCode>0.0</c:formatCode>
                <c:ptCount val="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68-4E1D-B230-1E386BC09C01}"/>
            </c:ext>
          </c:extLst>
        </c:ser>
        <c:ser>
          <c:idx val="5"/>
          <c:order val="5"/>
          <c:tx>
            <c:v>Hoja de datos B</c:v>
          </c:tx>
          <c:spPr>
            <a:ln w="22000">
              <a:solidFill>
                <a:srgbClr val="EB6834"/>
              </a:solidFill>
              <a:prstDash val="dash"/>
            </a:ln>
          </c:spPr>
          <c:marker>
            <c:symbol val="none"/>
          </c:marker>
          <c:xVal>
            <c:numRef>
              <c:f>Medición!$B$10:$B$41</c:f>
              <c:numCache>
                <c:formatCode>General</c:formatCode>
                <c:ptCount val="32"/>
                <c:pt idx="0">
                  <c:v>1</c:v>
                </c:pt>
                <c:pt idx="1">
                  <c:v>1.25</c:v>
                </c:pt>
                <c:pt idx="2">
                  <c:v>1.6</c:v>
                </c:pt>
                <c:pt idx="3">
                  <c:v>2</c:v>
                </c:pt>
                <c:pt idx="4">
                  <c:v>2.5</c:v>
                </c:pt>
                <c:pt idx="5">
                  <c:v>3.15</c:v>
                </c:pt>
                <c:pt idx="6">
                  <c:v>4</c:v>
                </c:pt>
                <c:pt idx="7">
                  <c:v>5</c:v>
                </c:pt>
                <c:pt idx="8">
                  <c:v>6.3</c:v>
                </c:pt>
                <c:pt idx="9">
                  <c:v>8</c:v>
                </c:pt>
                <c:pt idx="10">
                  <c:v>10</c:v>
                </c:pt>
                <c:pt idx="11">
                  <c:v>12.5</c:v>
                </c:pt>
                <c:pt idx="12">
                  <c:v>16</c:v>
                </c:pt>
                <c:pt idx="13">
                  <c:v>20</c:v>
                </c:pt>
                <c:pt idx="14">
                  <c:v>22.4</c:v>
                </c:pt>
                <c:pt idx="15">
                  <c:v>25</c:v>
                </c:pt>
                <c:pt idx="16">
                  <c:v>28</c:v>
                </c:pt>
                <c:pt idx="17">
                  <c:v>31.5</c:v>
                </c:pt>
                <c:pt idx="18">
                  <c:v>35.5</c:v>
                </c:pt>
                <c:pt idx="19">
                  <c:v>40</c:v>
                </c:pt>
                <c:pt idx="20">
                  <c:v>45</c:v>
                </c:pt>
                <c:pt idx="21">
                  <c:v>50</c:v>
                </c:pt>
                <c:pt idx="22">
                  <c:v>56</c:v>
                </c:pt>
                <c:pt idx="23">
                  <c:v>63</c:v>
                </c:pt>
                <c:pt idx="24">
                  <c:v>71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112</c:v>
                </c:pt>
                <c:pt idx="29">
                  <c:v>125</c:v>
                </c:pt>
                <c:pt idx="30">
                  <c:v>140</c:v>
                </c:pt>
                <c:pt idx="31">
                  <c:v>150</c:v>
                </c:pt>
              </c:numCache>
            </c:numRef>
          </c:xVal>
          <c:yVal>
            <c:numRef>
              <c:f>Medición!$S$10:$S$41</c:f>
              <c:numCache>
                <c:formatCode>0.0</c:formatCode>
                <c:ptCount val="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68-4E1D-B230-1E386BC09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200"/>
          <c:min val="1"/>
        </c:scaling>
        <c:delete val="0"/>
        <c:axPos val="b"/>
        <c:majorGridlines/>
        <c:minorGridlines>
          <c:spPr>
            <a:ln>
              <a:solidFill>
                <a:srgbClr val="E7E6E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Frecuencia (MHz)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min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Zt (dB</a:t>
                </a:r>
                <a:r>
                  <a:rPr lang="el-GR"/>
                  <a:t>Ω)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crossAx val="10"/>
        <c:crosses val="min"/>
        <c:crossBetween val="midCat"/>
      </c:valAx>
    </c:plotArea>
    <c:legend>
      <c:legendPos val="b"/>
      <c:overlay val="0"/>
    </c:legend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3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5"/>
  <sheetViews>
    <sheetView topLeftCell="A2" workbookViewId="0">
      <selection activeCell="H37" sqref="H37"/>
    </sheetView>
  </sheetViews>
  <sheetFormatPr defaultRowHeight="14.4" x14ac:dyDescent="0.3"/>
  <cols>
    <col min="1" max="1" width="5" customWidth="1"/>
    <col min="2" max="2" width="8" customWidth="1"/>
    <col min="3" max="3" width="10" customWidth="1"/>
    <col min="4" max="19" width="11" customWidth="1"/>
    <col min="20" max="20" width="40" customWidth="1"/>
  </cols>
  <sheetData>
    <row r="1" spans="1:20" ht="17.399999999999999" x14ac:dyDescent="0.3">
      <c r="A1" s="1" t="s">
        <v>0</v>
      </c>
    </row>
    <row r="3" spans="1:20" x14ac:dyDescent="0.3">
      <c r="A3" s="23" t="s">
        <v>1</v>
      </c>
      <c r="B3" s="21"/>
      <c r="C3" s="21"/>
      <c r="D3" s="21"/>
      <c r="E3" s="21"/>
      <c r="F3" s="21"/>
      <c r="G3" s="3">
        <v>15</v>
      </c>
      <c r="H3" t="s">
        <v>92</v>
      </c>
    </row>
    <row r="4" spans="1:20" x14ac:dyDescent="0.3">
      <c r="A4" s="23" t="s">
        <v>2</v>
      </c>
      <c r="B4" s="21"/>
      <c r="C4" s="21"/>
      <c r="D4" s="21"/>
      <c r="E4" s="21"/>
      <c r="F4" s="21"/>
      <c r="G4" s="4">
        <v>0</v>
      </c>
    </row>
    <row r="5" spans="1:20" x14ac:dyDescent="0.3">
      <c r="A5" s="23" t="s">
        <v>3</v>
      </c>
      <c r="B5" s="21"/>
      <c r="C5" s="21"/>
      <c r="D5" s="21"/>
      <c r="E5" s="21"/>
      <c r="F5" s="21"/>
      <c r="G5" s="5">
        <f>20*LOG10(50)</f>
        <v>33.979400086720375</v>
      </c>
    </row>
    <row r="6" spans="1:20" x14ac:dyDescent="0.3">
      <c r="A6" s="23" t="s">
        <v>4</v>
      </c>
      <c r="B6" s="21"/>
      <c r="C6" s="21"/>
      <c r="D6" s="21"/>
      <c r="E6" s="21"/>
      <c r="F6" s="21"/>
      <c r="G6" s="6">
        <v>10</v>
      </c>
    </row>
    <row r="8" spans="1:20" x14ac:dyDescent="0.3">
      <c r="A8" s="24" t="s">
        <v>5</v>
      </c>
      <c r="B8" s="21"/>
      <c r="C8" s="21"/>
      <c r="D8" s="20" t="s">
        <v>6</v>
      </c>
      <c r="E8" s="21"/>
      <c r="F8" s="21"/>
      <c r="G8" s="21"/>
      <c r="H8" s="21"/>
      <c r="I8" s="25" t="s">
        <v>7</v>
      </c>
      <c r="J8" s="21"/>
      <c r="K8" s="21"/>
      <c r="L8" s="21"/>
      <c r="M8" s="21"/>
      <c r="N8" s="22" t="s">
        <v>8</v>
      </c>
      <c r="O8" s="21"/>
      <c r="P8" s="21"/>
      <c r="Q8" s="21"/>
      <c r="R8" s="22" t="s">
        <v>9</v>
      </c>
      <c r="S8" s="21"/>
      <c r="T8" s="7"/>
    </row>
    <row r="9" spans="1:20" ht="42" customHeight="1" x14ac:dyDescent="0.3">
      <c r="A9" s="8" t="s">
        <v>10</v>
      </c>
      <c r="B9" s="8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8" t="s">
        <v>19</v>
      </c>
      <c r="K9" s="8" t="s">
        <v>20</v>
      </c>
      <c r="L9" s="8" t="s">
        <v>21</v>
      </c>
      <c r="M9" s="8" t="s">
        <v>22</v>
      </c>
      <c r="N9" s="8" t="s">
        <v>23</v>
      </c>
      <c r="O9" s="8" t="s">
        <v>24</v>
      </c>
      <c r="P9" s="8" t="s">
        <v>25</v>
      </c>
      <c r="Q9" s="8" t="s">
        <v>26</v>
      </c>
      <c r="R9" s="8" t="s">
        <v>27</v>
      </c>
      <c r="S9" s="8" t="s">
        <v>28</v>
      </c>
      <c r="T9" s="8" t="s">
        <v>29</v>
      </c>
    </row>
    <row r="10" spans="1:20" x14ac:dyDescent="0.3">
      <c r="A10" s="9">
        <v>1</v>
      </c>
      <c r="B10" s="10">
        <v>1</v>
      </c>
      <c r="C10" s="3">
        <f t="shared" ref="C10:C41" si="0">$G$3</f>
        <v>15</v>
      </c>
      <c r="D10" s="3">
        <v>-51</v>
      </c>
      <c r="E10" s="3">
        <v>-70</v>
      </c>
      <c r="F10" s="11">
        <f t="shared" ref="F10:F41" si="1">IF(OR(D10="",E10=""),"",D10-E10)</f>
        <v>19</v>
      </c>
      <c r="G10" s="11">
        <f t="shared" ref="G10:G41" si="2">IF(D10="",NA(),D10-C10+$G$5+$G$4)</f>
        <v>-32.020599913279625</v>
      </c>
      <c r="H10" s="12">
        <f t="shared" ref="H10:H41" si="3">IF(D10="",NA(),10^(G10/20))</f>
        <v>2.50593616813636E-2</v>
      </c>
      <c r="I10" s="3">
        <v>-23</v>
      </c>
      <c r="J10" s="3">
        <v>-70</v>
      </c>
      <c r="K10" s="11">
        <f t="shared" ref="K10:K41" si="4">IF(OR(I10="",J10=""),"",I10-J10)</f>
        <v>47</v>
      </c>
      <c r="L10" s="11">
        <f t="shared" ref="L10:L41" si="5">IF(I10="",NA(),I10-C10+$G$5+$G$4)</f>
        <v>-4.0205999132796251</v>
      </c>
      <c r="M10" s="12">
        <f t="shared" ref="M10:M41" si="6">IF(I10="",NA(),10^(L10/20))</f>
        <v>0.62946270589708353</v>
      </c>
      <c r="N10" s="3"/>
      <c r="O10" s="11" t="e">
        <f t="shared" ref="O10:O41" si="7">IF(OR(D10="",N10=""),NA(),D10-N10+$G$5)</f>
        <v>#N/A</v>
      </c>
      <c r="P10" s="3"/>
      <c r="Q10" s="11" t="e">
        <f t="shared" ref="Q10:Q41" si="8">IF(OR(I10="",P10=""),NA(),I10-P10+$G$5)</f>
        <v>#N/A</v>
      </c>
      <c r="R10" s="3"/>
      <c r="S10" s="3"/>
      <c r="T10" s="13"/>
    </row>
    <row r="11" spans="1:20" x14ac:dyDescent="0.3">
      <c r="A11" s="9">
        <v>2</v>
      </c>
      <c r="B11" s="10">
        <v>1.25</v>
      </c>
      <c r="C11" s="3">
        <f t="shared" si="0"/>
        <v>15</v>
      </c>
      <c r="D11" s="3">
        <v>-49</v>
      </c>
      <c r="E11" s="3">
        <v>-75</v>
      </c>
      <c r="F11" s="11">
        <f t="shared" si="1"/>
        <v>26</v>
      </c>
      <c r="G11" s="11">
        <f t="shared" si="2"/>
        <v>-30.020599913279625</v>
      </c>
      <c r="H11" s="12">
        <f t="shared" si="3"/>
        <v>3.1547867224009658E-2</v>
      </c>
      <c r="I11" s="3"/>
      <c r="J11" s="3">
        <v>-75</v>
      </c>
      <c r="K11" s="11" t="str">
        <f t="shared" si="4"/>
        <v/>
      </c>
      <c r="L11" s="11" t="e">
        <f t="shared" si="5"/>
        <v>#N/A</v>
      </c>
      <c r="M11" s="12" t="e">
        <f t="shared" si="6"/>
        <v>#N/A</v>
      </c>
      <c r="N11" s="3"/>
      <c r="O11" s="11" t="e">
        <f t="shared" si="7"/>
        <v>#N/A</v>
      </c>
      <c r="P11" s="3"/>
      <c r="Q11" s="11" t="e">
        <f t="shared" si="8"/>
        <v>#N/A</v>
      </c>
      <c r="R11" s="3"/>
      <c r="S11" s="3"/>
      <c r="T11" s="13"/>
    </row>
    <row r="12" spans="1:20" x14ac:dyDescent="0.3">
      <c r="A12" s="9">
        <v>3</v>
      </c>
      <c r="B12" s="10">
        <v>1.6</v>
      </c>
      <c r="C12" s="3">
        <f t="shared" si="0"/>
        <v>15</v>
      </c>
      <c r="D12" s="3">
        <v>-47</v>
      </c>
      <c r="E12" s="3">
        <v>-75</v>
      </c>
      <c r="F12" s="11">
        <f t="shared" si="1"/>
        <v>28</v>
      </c>
      <c r="G12" s="11">
        <f t="shared" si="2"/>
        <v>-28.020599913279625</v>
      </c>
      <c r="H12" s="12">
        <f t="shared" si="3"/>
        <v>3.9716411736214048E-2</v>
      </c>
      <c r="I12" s="3"/>
      <c r="J12" s="3">
        <v>-74</v>
      </c>
      <c r="K12" s="11" t="str">
        <f>IF(OR(I12="",J12=""),"",I12-J12)</f>
        <v/>
      </c>
      <c r="L12" s="11" t="e">
        <f>IF(I12="",NA(),I12-C12+$G$5+$G$4)</f>
        <v>#N/A</v>
      </c>
      <c r="M12" s="12" t="e">
        <f>IF(I12="",NA(),10^(L12/20))</f>
        <v>#N/A</v>
      </c>
      <c r="N12" s="3"/>
      <c r="O12" s="11" t="e">
        <f t="shared" si="7"/>
        <v>#N/A</v>
      </c>
      <c r="P12" s="3"/>
      <c r="Q12" s="11" t="e">
        <f>IF(OR(I12="",P12=""),NA(),I12-P12+$G$5)</f>
        <v>#N/A</v>
      </c>
      <c r="R12" s="3"/>
      <c r="S12" s="3"/>
      <c r="T12" s="13"/>
    </row>
    <row r="13" spans="1:20" x14ac:dyDescent="0.3">
      <c r="A13" s="9">
        <v>4</v>
      </c>
      <c r="B13" s="10">
        <v>2</v>
      </c>
      <c r="C13" s="3">
        <f t="shared" si="0"/>
        <v>15</v>
      </c>
      <c r="D13" s="3">
        <v>-45</v>
      </c>
      <c r="E13" s="3">
        <v>-76</v>
      </c>
      <c r="F13" s="11">
        <f t="shared" si="1"/>
        <v>31</v>
      </c>
      <c r="G13" s="11">
        <f t="shared" si="2"/>
        <v>-26.020599913279625</v>
      </c>
      <c r="H13" s="12">
        <f t="shared" si="3"/>
        <v>4.9999999999999982E-2</v>
      </c>
      <c r="I13" s="3"/>
      <c r="J13" s="3">
        <v>-75</v>
      </c>
      <c r="K13" s="11" t="str">
        <f t="shared" si="4"/>
        <v/>
      </c>
      <c r="L13" s="11" t="e">
        <f t="shared" si="5"/>
        <v>#N/A</v>
      </c>
      <c r="M13" s="12" t="e">
        <f t="shared" si="6"/>
        <v>#N/A</v>
      </c>
      <c r="N13" s="3"/>
      <c r="O13" s="11" t="e">
        <f t="shared" si="7"/>
        <v>#N/A</v>
      </c>
      <c r="P13" s="3"/>
      <c r="Q13" s="11" t="e">
        <f t="shared" si="8"/>
        <v>#N/A</v>
      </c>
      <c r="R13" s="3"/>
      <c r="S13" s="3"/>
      <c r="T13" s="13"/>
    </row>
    <row r="14" spans="1:20" x14ac:dyDescent="0.3">
      <c r="A14" s="9">
        <v>5</v>
      </c>
      <c r="B14" s="10">
        <v>2.5</v>
      </c>
      <c r="C14" s="3">
        <f t="shared" si="0"/>
        <v>15</v>
      </c>
      <c r="D14" s="3">
        <v>-43</v>
      </c>
      <c r="E14" s="3">
        <v>-78</v>
      </c>
      <c r="F14" s="11">
        <f t="shared" si="1"/>
        <v>35</v>
      </c>
      <c r="G14" s="11">
        <f t="shared" si="2"/>
        <v>-24.020599913279625</v>
      </c>
      <c r="H14" s="12">
        <f t="shared" si="3"/>
        <v>6.2946270589708336E-2</v>
      </c>
      <c r="I14" s="3"/>
      <c r="J14" s="3">
        <v>-74</v>
      </c>
      <c r="K14" s="11" t="str">
        <f t="shared" si="4"/>
        <v/>
      </c>
      <c r="L14" s="11" t="e">
        <f t="shared" si="5"/>
        <v>#N/A</v>
      </c>
      <c r="M14" s="12" t="e">
        <f t="shared" si="6"/>
        <v>#N/A</v>
      </c>
      <c r="N14" s="3"/>
      <c r="O14" s="11" t="e">
        <f t="shared" si="7"/>
        <v>#N/A</v>
      </c>
      <c r="P14" s="3"/>
      <c r="Q14" s="11" t="e">
        <f t="shared" si="8"/>
        <v>#N/A</v>
      </c>
      <c r="R14" s="3"/>
      <c r="S14" s="3"/>
      <c r="T14" s="13"/>
    </row>
    <row r="15" spans="1:20" x14ac:dyDescent="0.3">
      <c r="A15" s="9">
        <v>6</v>
      </c>
      <c r="B15" s="10">
        <v>3.15</v>
      </c>
      <c r="C15" s="3">
        <f t="shared" si="0"/>
        <v>15</v>
      </c>
      <c r="D15" s="3">
        <v>-41</v>
      </c>
      <c r="E15" s="3">
        <v>-78</v>
      </c>
      <c r="F15" s="11">
        <f t="shared" si="1"/>
        <v>37</v>
      </c>
      <c r="G15" s="11">
        <f t="shared" si="2"/>
        <v>-22.020599913279625</v>
      </c>
      <c r="H15" s="12">
        <f t="shared" si="3"/>
        <v>7.9244659623055644E-2</v>
      </c>
      <c r="I15" s="3"/>
      <c r="J15" s="3">
        <v>-75</v>
      </c>
      <c r="K15" s="11" t="str">
        <f>IF(OR(I15="",J15=""),"",I15-J15)</f>
        <v/>
      </c>
      <c r="L15" s="11" t="e">
        <f>IF(I15="",NA(),I15-C15+$G$5+$G$4)</f>
        <v>#N/A</v>
      </c>
      <c r="M15" s="12" t="e">
        <f>IF(I15="",NA(),10^(L15/20))</f>
        <v>#N/A</v>
      </c>
      <c r="N15" s="3"/>
      <c r="O15" s="11" t="e">
        <f t="shared" si="7"/>
        <v>#N/A</v>
      </c>
      <c r="P15" s="3"/>
      <c r="Q15" s="11" t="e">
        <f>IF(OR(I15="",P15=""),NA(),I15-P15+$G$5)</f>
        <v>#N/A</v>
      </c>
      <c r="R15" s="3"/>
      <c r="S15" s="3"/>
      <c r="T15" s="13"/>
    </row>
    <row r="16" spans="1:20" x14ac:dyDescent="0.3">
      <c r="A16" s="9">
        <v>7</v>
      </c>
      <c r="B16" s="10">
        <v>4</v>
      </c>
      <c r="C16" s="3">
        <f t="shared" si="0"/>
        <v>15</v>
      </c>
      <c r="D16" s="3">
        <v>-38.5</v>
      </c>
      <c r="E16" s="3">
        <v>-78</v>
      </c>
      <c r="F16" s="11">
        <f t="shared" si="1"/>
        <v>39.5</v>
      </c>
      <c r="G16" s="11">
        <f t="shared" si="2"/>
        <v>-19.520599913279625</v>
      </c>
      <c r="H16" s="12">
        <f t="shared" si="3"/>
        <v>0.10567445199183231</v>
      </c>
      <c r="I16" s="3"/>
      <c r="J16" s="3">
        <v>-75</v>
      </c>
      <c r="K16" s="11" t="str">
        <f t="shared" si="4"/>
        <v/>
      </c>
      <c r="L16" s="11" t="e">
        <f t="shared" si="5"/>
        <v>#N/A</v>
      </c>
      <c r="M16" s="12" t="e">
        <f t="shared" si="6"/>
        <v>#N/A</v>
      </c>
      <c r="N16" s="3"/>
      <c r="O16" s="11" t="e">
        <f t="shared" si="7"/>
        <v>#N/A</v>
      </c>
      <c r="P16" s="3"/>
      <c r="Q16" s="11" t="e">
        <f t="shared" si="8"/>
        <v>#N/A</v>
      </c>
      <c r="R16" s="3"/>
      <c r="S16" s="3"/>
      <c r="T16" s="13"/>
    </row>
    <row r="17" spans="1:20" x14ac:dyDescent="0.3">
      <c r="A17" s="9">
        <v>8</v>
      </c>
      <c r="B17" s="10">
        <v>5</v>
      </c>
      <c r="C17" s="3">
        <f t="shared" si="0"/>
        <v>15</v>
      </c>
      <c r="D17" s="3">
        <v>-37</v>
      </c>
      <c r="E17" s="3">
        <v>-78</v>
      </c>
      <c r="F17" s="11">
        <f t="shared" si="1"/>
        <v>41</v>
      </c>
      <c r="G17" s="11">
        <f t="shared" si="2"/>
        <v>-18.020599913279625</v>
      </c>
      <c r="H17" s="12">
        <f t="shared" si="3"/>
        <v>0.12559432157547898</v>
      </c>
      <c r="I17" s="3">
        <v>-22.5</v>
      </c>
      <c r="J17" s="3"/>
      <c r="K17" s="11" t="str">
        <f t="shared" si="4"/>
        <v/>
      </c>
      <c r="L17" s="11">
        <f t="shared" si="5"/>
        <v>-3.5205999132796251</v>
      </c>
      <c r="M17" s="12">
        <f t="shared" si="6"/>
        <v>0.66676071608166187</v>
      </c>
      <c r="N17" s="3"/>
      <c r="O17" s="11" t="e">
        <f t="shared" si="7"/>
        <v>#N/A</v>
      </c>
      <c r="P17" s="3"/>
      <c r="Q17" s="11" t="e">
        <f t="shared" si="8"/>
        <v>#N/A</v>
      </c>
      <c r="R17" s="3"/>
      <c r="S17" s="3"/>
      <c r="T17" s="13"/>
    </row>
    <row r="18" spans="1:20" x14ac:dyDescent="0.3">
      <c r="A18" s="9">
        <v>9</v>
      </c>
      <c r="B18" s="10">
        <v>6.3</v>
      </c>
      <c r="C18" s="3">
        <f t="shared" si="0"/>
        <v>15</v>
      </c>
      <c r="D18" s="3">
        <v>-34.5</v>
      </c>
      <c r="E18" s="3">
        <v>-78</v>
      </c>
      <c r="F18" s="11">
        <f t="shared" si="1"/>
        <v>43.5</v>
      </c>
      <c r="G18" s="11">
        <f t="shared" si="2"/>
        <v>-15.520599913279625</v>
      </c>
      <c r="H18" s="12">
        <f t="shared" si="3"/>
        <v>0.16748271957891378</v>
      </c>
      <c r="I18" s="3"/>
      <c r="J18" s="3"/>
      <c r="K18" s="11" t="str">
        <f t="shared" si="4"/>
        <v/>
      </c>
      <c r="L18" s="11" t="e">
        <f t="shared" si="5"/>
        <v>#N/A</v>
      </c>
      <c r="M18" s="12" t="e">
        <f t="shared" si="6"/>
        <v>#N/A</v>
      </c>
      <c r="N18" s="3"/>
      <c r="O18" s="11" t="e">
        <f t="shared" si="7"/>
        <v>#N/A</v>
      </c>
      <c r="P18" s="3"/>
      <c r="Q18" s="11" t="e">
        <f t="shared" si="8"/>
        <v>#N/A</v>
      </c>
      <c r="R18" s="3"/>
      <c r="S18" s="3"/>
      <c r="T18" s="13"/>
    </row>
    <row r="19" spans="1:20" x14ac:dyDescent="0.3">
      <c r="A19" s="9">
        <v>10</v>
      </c>
      <c r="B19" s="10">
        <v>8</v>
      </c>
      <c r="C19" s="3">
        <f t="shared" si="0"/>
        <v>15</v>
      </c>
      <c r="D19" s="3">
        <v>-31.4</v>
      </c>
      <c r="E19" s="3">
        <v>-78</v>
      </c>
      <c r="F19" s="11">
        <f t="shared" si="1"/>
        <v>46.6</v>
      </c>
      <c r="G19" s="11">
        <f t="shared" si="2"/>
        <v>-12.420599913279624</v>
      </c>
      <c r="H19" s="12">
        <f t="shared" si="3"/>
        <v>0.23931504616131916</v>
      </c>
      <c r="I19" s="3"/>
      <c r="J19" s="3"/>
      <c r="K19" s="11" t="str">
        <f t="shared" si="4"/>
        <v/>
      </c>
      <c r="L19" s="11" t="e">
        <f t="shared" si="5"/>
        <v>#N/A</v>
      </c>
      <c r="M19" s="12" t="e">
        <f t="shared" si="6"/>
        <v>#N/A</v>
      </c>
      <c r="N19" s="3"/>
      <c r="O19" s="11" t="e">
        <f t="shared" si="7"/>
        <v>#N/A</v>
      </c>
      <c r="P19" s="3"/>
      <c r="Q19" s="11" t="e">
        <f t="shared" si="8"/>
        <v>#N/A</v>
      </c>
      <c r="R19" s="3"/>
      <c r="S19" s="3"/>
      <c r="T19" s="13"/>
    </row>
    <row r="20" spans="1:20" x14ac:dyDescent="0.3">
      <c r="A20" s="9">
        <v>11</v>
      </c>
      <c r="B20" s="10">
        <v>10</v>
      </c>
      <c r="C20" s="3">
        <f t="shared" si="0"/>
        <v>15</v>
      </c>
      <c r="D20" s="3">
        <v>-28.4</v>
      </c>
      <c r="E20" s="3">
        <v>-78</v>
      </c>
      <c r="F20" s="11">
        <f t="shared" si="1"/>
        <v>49.6</v>
      </c>
      <c r="G20" s="11">
        <f t="shared" si="2"/>
        <v>-9.4205999132796236</v>
      </c>
      <c r="H20" s="12">
        <f t="shared" si="3"/>
        <v>0.33804148769599091</v>
      </c>
      <c r="I20" s="3"/>
      <c r="J20" s="3"/>
      <c r="K20" s="11" t="str">
        <f t="shared" si="4"/>
        <v/>
      </c>
      <c r="L20" s="11" t="e">
        <f t="shared" si="5"/>
        <v>#N/A</v>
      </c>
      <c r="M20" s="12" t="e">
        <f t="shared" si="6"/>
        <v>#N/A</v>
      </c>
      <c r="N20" s="3"/>
      <c r="O20" s="11" t="e">
        <f t="shared" si="7"/>
        <v>#N/A</v>
      </c>
      <c r="P20" s="3"/>
      <c r="Q20" s="11" t="e">
        <f t="shared" si="8"/>
        <v>#N/A</v>
      </c>
      <c r="R20" s="3"/>
      <c r="S20" s="3"/>
      <c r="T20" s="13"/>
    </row>
    <row r="21" spans="1:20" x14ac:dyDescent="0.3">
      <c r="A21" s="9">
        <v>12</v>
      </c>
      <c r="B21" s="10">
        <v>12.5</v>
      </c>
      <c r="C21" s="3">
        <f t="shared" si="0"/>
        <v>15</v>
      </c>
      <c r="D21" s="3">
        <v>-27</v>
      </c>
      <c r="E21" s="3">
        <v>-78</v>
      </c>
      <c r="F21" s="11">
        <f t="shared" si="1"/>
        <v>51</v>
      </c>
      <c r="G21" s="11">
        <f t="shared" si="2"/>
        <v>-8.0205999132796251</v>
      </c>
      <c r="H21" s="12">
        <f t="shared" si="3"/>
        <v>0.39716411736214075</v>
      </c>
      <c r="I21" s="3"/>
      <c r="J21" s="3"/>
      <c r="K21" s="11" t="str">
        <f t="shared" si="4"/>
        <v/>
      </c>
      <c r="L21" s="11" t="e">
        <f t="shared" si="5"/>
        <v>#N/A</v>
      </c>
      <c r="M21" s="12" t="e">
        <f t="shared" si="6"/>
        <v>#N/A</v>
      </c>
      <c r="N21" s="3"/>
      <c r="O21" s="11" t="e">
        <f t="shared" si="7"/>
        <v>#N/A</v>
      </c>
      <c r="P21" s="3"/>
      <c r="Q21" s="11" t="e">
        <f t="shared" si="8"/>
        <v>#N/A</v>
      </c>
      <c r="R21" s="3"/>
      <c r="S21" s="3"/>
      <c r="T21" s="13"/>
    </row>
    <row r="22" spans="1:20" x14ac:dyDescent="0.3">
      <c r="A22" s="9">
        <v>13</v>
      </c>
      <c r="B22" s="10">
        <v>16</v>
      </c>
      <c r="C22" s="3">
        <f t="shared" si="0"/>
        <v>15</v>
      </c>
      <c r="D22" s="3">
        <v>-23.5</v>
      </c>
      <c r="E22" s="3">
        <v>-78</v>
      </c>
      <c r="F22" s="11">
        <f t="shared" si="1"/>
        <v>54.5</v>
      </c>
      <c r="G22" s="11">
        <f t="shared" si="2"/>
        <v>-4.5205999132796251</v>
      </c>
      <c r="H22" s="12">
        <f t="shared" si="3"/>
        <v>0.59425111371850914</v>
      </c>
      <c r="I22" s="3"/>
      <c r="J22" s="3"/>
      <c r="K22" s="11" t="str">
        <f t="shared" si="4"/>
        <v/>
      </c>
      <c r="L22" s="11" t="e">
        <f t="shared" si="5"/>
        <v>#N/A</v>
      </c>
      <c r="M22" s="12" t="e">
        <f t="shared" si="6"/>
        <v>#N/A</v>
      </c>
      <c r="N22" s="3"/>
      <c r="O22" s="11" t="e">
        <f t="shared" si="7"/>
        <v>#N/A</v>
      </c>
      <c r="P22" s="3"/>
      <c r="Q22" s="11" t="e">
        <f t="shared" si="8"/>
        <v>#N/A</v>
      </c>
      <c r="R22" s="3"/>
      <c r="S22" s="3"/>
      <c r="T22" s="13"/>
    </row>
    <row r="23" spans="1:20" x14ac:dyDescent="0.3">
      <c r="A23" s="9">
        <v>14</v>
      </c>
      <c r="B23" s="10">
        <v>20</v>
      </c>
      <c r="C23" s="3">
        <f t="shared" si="0"/>
        <v>15</v>
      </c>
      <c r="D23" s="3">
        <v>-19.3</v>
      </c>
      <c r="E23" s="3">
        <v>-78</v>
      </c>
      <c r="F23" s="11">
        <f t="shared" si="1"/>
        <v>58.7</v>
      </c>
      <c r="G23" s="11">
        <f t="shared" si="2"/>
        <v>-0.32059991327962223</v>
      </c>
      <c r="H23" s="12">
        <f t="shared" si="3"/>
        <v>0.96376245659546822</v>
      </c>
      <c r="I23" s="3">
        <v>-21.5</v>
      </c>
      <c r="J23" s="3"/>
      <c r="K23" s="11" t="str">
        <f t="shared" si="4"/>
        <v/>
      </c>
      <c r="L23" s="11">
        <f t="shared" si="5"/>
        <v>-2.5205999132796251</v>
      </c>
      <c r="M23" s="12">
        <f t="shared" si="6"/>
        <v>0.74811782804721649</v>
      </c>
      <c r="N23" s="3"/>
      <c r="O23" s="11" t="e">
        <f t="shared" si="7"/>
        <v>#N/A</v>
      </c>
      <c r="P23" s="3"/>
      <c r="Q23" s="11" t="e">
        <f t="shared" si="8"/>
        <v>#N/A</v>
      </c>
      <c r="R23" s="3"/>
      <c r="S23" s="3"/>
      <c r="T23" s="13"/>
    </row>
    <row r="24" spans="1:20" x14ac:dyDescent="0.3">
      <c r="A24" s="9">
        <v>15</v>
      </c>
      <c r="B24" s="10">
        <v>22.4</v>
      </c>
      <c r="C24" s="3">
        <f t="shared" si="0"/>
        <v>15</v>
      </c>
      <c r="D24" s="3">
        <v>-17.5</v>
      </c>
      <c r="E24" s="3">
        <v>-78</v>
      </c>
      <c r="F24" s="11">
        <f t="shared" si="1"/>
        <v>60.5</v>
      </c>
      <c r="G24" s="11">
        <f t="shared" si="2"/>
        <v>1.4794000867203749</v>
      </c>
      <c r="H24" s="12">
        <f t="shared" si="3"/>
        <v>1.1856868528308275</v>
      </c>
      <c r="I24" s="3"/>
      <c r="J24" s="3"/>
      <c r="K24" s="11" t="str">
        <f t="shared" si="4"/>
        <v/>
      </c>
      <c r="L24" s="11" t="e">
        <f t="shared" si="5"/>
        <v>#N/A</v>
      </c>
      <c r="M24" s="12" t="e">
        <f t="shared" si="6"/>
        <v>#N/A</v>
      </c>
      <c r="N24" s="3"/>
      <c r="O24" s="11" t="e">
        <f t="shared" si="7"/>
        <v>#N/A</v>
      </c>
      <c r="P24" s="3"/>
      <c r="Q24" s="11" t="e">
        <f t="shared" si="8"/>
        <v>#N/A</v>
      </c>
      <c r="R24" s="3"/>
      <c r="S24" s="3"/>
      <c r="T24" s="13"/>
    </row>
    <row r="25" spans="1:20" x14ac:dyDescent="0.3">
      <c r="A25" s="9">
        <v>16</v>
      </c>
      <c r="B25" s="10">
        <v>25</v>
      </c>
      <c r="C25" s="3">
        <f t="shared" si="0"/>
        <v>15</v>
      </c>
      <c r="D25" s="3">
        <v>-17.399999999999999</v>
      </c>
      <c r="E25" s="3">
        <v>-78</v>
      </c>
      <c r="F25" s="11">
        <f t="shared" si="1"/>
        <v>60.6</v>
      </c>
      <c r="G25" s="11">
        <f t="shared" si="2"/>
        <v>1.5794000867203764</v>
      </c>
      <c r="H25" s="12">
        <f t="shared" si="3"/>
        <v>1.1994164595097454</v>
      </c>
      <c r="I25" s="3"/>
      <c r="J25" s="3"/>
      <c r="K25" s="11" t="str">
        <f t="shared" si="4"/>
        <v/>
      </c>
      <c r="L25" s="11" t="e">
        <f t="shared" si="5"/>
        <v>#N/A</v>
      </c>
      <c r="M25" s="12" t="e">
        <f t="shared" si="6"/>
        <v>#N/A</v>
      </c>
      <c r="N25" s="3"/>
      <c r="O25" s="11" t="e">
        <f t="shared" si="7"/>
        <v>#N/A</v>
      </c>
      <c r="P25" s="3"/>
      <c r="Q25" s="11" t="e">
        <f t="shared" si="8"/>
        <v>#N/A</v>
      </c>
      <c r="R25" s="3"/>
      <c r="S25" s="3"/>
      <c r="T25" s="13"/>
    </row>
    <row r="26" spans="1:20" x14ac:dyDescent="0.3">
      <c r="A26" s="9">
        <v>17</v>
      </c>
      <c r="B26" s="10">
        <v>28</v>
      </c>
      <c r="C26" s="3">
        <f t="shared" si="0"/>
        <v>15</v>
      </c>
      <c r="D26" s="3">
        <v>-16.5</v>
      </c>
      <c r="E26" s="3">
        <v>-78</v>
      </c>
      <c r="F26" s="11">
        <f t="shared" si="1"/>
        <v>61.5</v>
      </c>
      <c r="G26" s="11">
        <f t="shared" si="2"/>
        <v>2.4794000867203749</v>
      </c>
      <c r="H26" s="12">
        <f t="shared" si="3"/>
        <v>1.3303625298994046</v>
      </c>
      <c r="I26" s="3"/>
      <c r="J26" s="3"/>
      <c r="K26" s="11" t="str">
        <f t="shared" si="4"/>
        <v/>
      </c>
      <c r="L26" s="11" t="e">
        <f t="shared" si="5"/>
        <v>#N/A</v>
      </c>
      <c r="M26" s="12" t="e">
        <f t="shared" si="6"/>
        <v>#N/A</v>
      </c>
      <c r="N26" s="3"/>
      <c r="O26" s="11" t="e">
        <f t="shared" si="7"/>
        <v>#N/A</v>
      </c>
      <c r="P26" s="3"/>
      <c r="Q26" s="11" t="e">
        <f t="shared" si="8"/>
        <v>#N/A</v>
      </c>
      <c r="R26" s="3"/>
      <c r="S26" s="3"/>
      <c r="T26" s="13"/>
    </row>
    <row r="27" spans="1:20" x14ac:dyDescent="0.3">
      <c r="A27" s="9">
        <v>18</v>
      </c>
      <c r="B27" s="10">
        <v>31.5</v>
      </c>
      <c r="C27" s="3">
        <f t="shared" si="0"/>
        <v>15</v>
      </c>
      <c r="D27" s="3">
        <v>-16</v>
      </c>
      <c r="E27" s="3">
        <v>-78</v>
      </c>
      <c r="F27" s="11">
        <f t="shared" si="1"/>
        <v>62</v>
      </c>
      <c r="G27" s="11">
        <f t="shared" si="2"/>
        <v>2.9794000867203749</v>
      </c>
      <c r="H27" s="12">
        <f t="shared" si="3"/>
        <v>1.4091914656322269</v>
      </c>
      <c r="I27" s="3"/>
      <c r="J27" s="3"/>
      <c r="K27" s="11" t="str">
        <f t="shared" si="4"/>
        <v/>
      </c>
      <c r="L27" s="11" t="e">
        <f t="shared" si="5"/>
        <v>#N/A</v>
      </c>
      <c r="M27" s="12" t="e">
        <f t="shared" si="6"/>
        <v>#N/A</v>
      </c>
      <c r="N27" s="3"/>
      <c r="O27" s="11" t="e">
        <f t="shared" si="7"/>
        <v>#N/A</v>
      </c>
      <c r="P27" s="3"/>
      <c r="Q27" s="11" t="e">
        <f t="shared" si="8"/>
        <v>#N/A</v>
      </c>
      <c r="R27" s="3"/>
      <c r="S27" s="3"/>
      <c r="T27" s="13"/>
    </row>
    <row r="28" spans="1:20" x14ac:dyDescent="0.3">
      <c r="A28" s="9">
        <v>19</v>
      </c>
      <c r="B28" s="10">
        <v>35.5</v>
      </c>
      <c r="C28" s="3">
        <f t="shared" si="0"/>
        <v>15</v>
      </c>
      <c r="D28" s="3">
        <v>-17.100000000000001</v>
      </c>
      <c r="E28" s="3">
        <v>-78</v>
      </c>
      <c r="F28" s="11">
        <f t="shared" si="1"/>
        <v>60.9</v>
      </c>
      <c r="G28" s="11">
        <f t="shared" si="2"/>
        <v>1.8794000867203735</v>
      </c>
      <c r="H28" s="12">
        <f t="shared" si="3"/>
        <v>1.2415665526477848</v>
      </c>
      <c r="I28" s="3"/>
      <c r="J28" s="3"/>
      <c r="K28" s="11" t="str">
        <f t="shared" si="4"/>
        <v/>
      </c>
      <c r="L28" s="11" t="e">
        <f t="shared" si="5"/>
        <v>#N/A</v>
      </c>
      <c r="M28" s="12" t="e">
        <f t="shared" si="6"/>
        <v>#N/A</v>
      </c>
      <c r="N28" s="3"/>
      <c r="O28" s="11" t="e">
        <f t="shared" si="7"/>
        <v>#N/A</v>
      </c>
      <c r="P28" s="3"/>
      <c r="Q28" s="11" t="e">
        <f t="shared" si="8"/>
        <v>#N/A</v>
      </c>
      <c r="R28" s="3"/>
      <c r="S28" s="3"/>
      <c r="T28" s="13"/>
    </row>
    <row r="29" spans="1:20" x14ac:dyDescent="0.3">
      <c r="A29" s="9">
        <v>20</v>
      </c>
      <c r="B29" s="10">
        <v>40</v>
      </c>
      <c r="C29" s="3">
        <f t="shared" si="0"/>
        <v>15</v>
      </c>
      <c r="D29" s="3">
        <v>-17.3</v>
      </c>
      <c r="E29" s="3">
        <v>-78</v>
      </c>
      <c r="F29" s="11">
        <f t="shared" si="1"/>
        <v>60.7</v>
      </c>
      <c r="G29" s="11">
        <f t="shared" si="2"/>
        <v>1.6794000867203778</v>
      </c>
      <c r="H29" s="12">
        <f t="shared" si="3"/>
        <v>1.2133050475412079</v>
      </c>
      <c r="I29" s="3"/>
      <c r="J29" s="3"/>
      <c r="K29" s="11" t="str">
        <f t="shared" si="4"/>
        <v/>
      </c>
      <c r="L29" s="11" t="e">
        <f t="shared" si="5"/>
        <v>#N/A</v>
      </c>
      <c r="M29" s="12" t="e">
        <f t="shared" si="6"/>
        <v>#N/A</v>
      </c>
      <c r="N29" s="3"/>
      <c r="O29" s="11" t="e">
        <f t="shared" si="7"/>
        <v>#N/A</v>
      </c>
      <c r="P29" s="3"/>
      <c r="Q29" s="11" t="e">
        <f t="shared" si="8"/>
        <v>#N/A</v>
      </c>
      <c r="R29" s="3"/>
      <c r="S29" s="3"/>
      <c r="T29" s="13"/>
    </row>
    <row r="30" spans="1:20" x14ac:dyDescent="0.3">
      <c r="A30" s="9">
        <v>21</v>
      </c>
      <c r="B30" s="10">
        <v>45</v>
      </c>
      <c r="C30" s="3">
        <f t="shared" si="0"/>
        <v>15</v>
      </c>
      <c r="D30" s="3">
        <v>-17.100000000000001</v>
      </c>
      <c r="E30" s="3">
        <v>-78</v>
      </c>
      <c r="F30" s="11">
        <f t="shared" si="1"/>
        <v>60.9</v>
      </c>
      <c r="G30" s="11">
        <f t="shared" si="2"/>
        <v>1.8794000867203735</v>
      </c>
      <c r="H30" s="12">
        <f t="shared" si="3"/>
        <v>1.2415665526477848</v>
      </c>
      <c r="I30" s="3"/>
      <c r="J30" s="3"/>
      <c r="K30" s="11" t="str">
        <f t="shared" si="4"/>
        <v/>
      </c>
      <c r="L30" s="11" t="e">
        <f t="shared" si="5"/>
        <v>#N/A</v>
      </c>
      <c r="M30" s="12" t="e">
        <f t="shared" si="6"/>
        <v>#N/A</v>
      </c>
      <c r="N30" s="3"/>
      <c r="O30" s="11" t="e">
        <f t="shared" si="7"/>
        <v>#N/A</v>
      </c>
      <c r="P30" s="3"/>
      <c r="Q30" s="11" t="e">
        <f t="shared" si="8"/>
        <v>#N/A</v>
      </c>
      <c r="R30" s="3"/>
      <c r="S30" s="3"/>
      <c r="T30" s="13"/>
    </row>
    <row r="31" spans="1:20" x14ac:dyDescent="0.3">
      <c r="A31" s="9">
        <v>22</v>
      </c>
      <c r="B31" s="10">
        <v>50</v>
      </c>
      <c r="C31" s="3">
        <f t="shared" si="0"/>
        <v>15</v>
      </c>
      <c r="D31" s="3">
        <v>-16.2</v>
      </c>
      <c r="E31" s="3">
        <v>-78</v>
      </c>
      <c r="F31" s="11">
        <f t="shared" si="1"/>
        <v>61.8</v>
      </c>
      <c r="G31" s="11">
        <f t="shared" si="2"/>
        <v>2.7794000867203756</v>
      </c>
      <c r="H31" s="12">
        <f t="shared" si="3"/>
        <v>1.3771143516690831</v>
      </c>
      <c r="I31" s="3">
        <v>-29.5</v>
      </c>
      <c r="J31" s="3"/>
      <c r="K31" s="11" t="str">
        <f t="shared" si="4"/>
        <v/>
      </c>
      <c r="L31" s="11">
        <f t="shared" si="5"/>
        <v>-10.520599913279625</v>
      </c>
      <c r="M31" s="12">
        <f t="shared" si="6"/>
        <v>0.29783107176450518</v>
      </c>
      <c r="N31" s="3"/>
      <c r="O31" s="11" t="e">
        <f t="shared" si="7"/>
        <v>#N/A</v>
      </c>
      <c r="P31" s="3"/>
      <c r="Q31" s="11" t="e">
        <f t="shared" si="8"/>
        <v>#N/A</v>
      </c>
      <c r="R31" s="3"/>
      <c r="S31" s="3"/>
      <c r="T31" s="13"/>
    </row>
    <row r="32" spans="1:20" x14ac:dyDescent="0.3">
      <c r="A32" s="9">
        <v>23</v>
      </c>
      <c r="B32" s="10">
        <v>56</v>
      </c>
      <c r="C32" s="3">
        <f t="shared" si="0"/>
        <v>15</v>
      </c>
      <c r="D32" s="3">
        <v>-14.6</v>
      </c>
      <c r="E32" s="3">
        <v>-78</v>
      </c>
      <c r="F32" s="11">
        <f t="shared" si="1"/>
        <v>63.4</v>
      </c>
      <c r="G32" s="11">
        <f t="shared" si="2"/>
        <v>4.3794000867203735</v>
      </c>
      <c r="H32" s="12">
        <f t="shared" si="3"/>
        <v>1.6556556074129549</v>
      </c>
      <c r="I32" s="3"/>
      <c r="J32" s="3"/>
      <c r="K32" s="11" t="str">
        <f t="shared" si="4"/>
        <v/>
      </c>
      <c r="L32" s="11" t="e">
        <f t="shared" si="5"/>
        <v>#N/A</v>
      </c>
      <c r="M32" s="12" t="e">
        <f t="shared" si="6"/>
        <v>#N/A</v>
      </c>
      <c r="N32" s="3"/>
      <c r="O32" s="11" t="e">
        <f t="shared" si="7"/>
        <v>#N/A</v>
      </c>
      <c r="P32" s="3"/>
      <c r="Q32" s="11" t="e">
        <f t="shared" si="8"/>
        <v>#N/A</v>
      </c>
      <c r="R32" s="3"/>
      <c r="S32" s="3"/>
      <c r="T32" s="13"/>
    </row>
    <row r="33" spans="1:20" x14ac:dyDescent="0.3">
      <c r="A33" s="9">
        <v>24</v>
      </c>
      <c r="B33" s="10">
        <v>63</v>
      </c>
      <c r="C33" s="3">
        <f t="shared" si="0"/>
        <v>15</v>
      </c>
      <c r="D33" s="3">
        <v>-13</v>
      </c>
      <c r="E33" s="3">
        <v>-78</v>
      </c>
      <c r="F33" s="11">
        <f t="shared" si="1"/>
        <v>65</v>
      </c>
      <c r="G33" s="11">
        <f t="shared" si="2"/>
        <v>5.9794000867203749</v>
      </c>
      <c r="H33" s="12">
        <f t="shared" si="3"/>
        <v>1.9905358527674859</v>
      </c>
      <c r="I33" s="3"/>
      <c r="J33" s="3"/>
      <c r="K33" s="11" t="str">
        <f t="shared" si="4"/>
        <v/>
      </c>
      <c r="L33" s="11" t="e">
        <f t="shared" si="5"/>
        <v>#N/A</v>
      </c>
      <c r="M33" s="12" t="e">
        <f t="shared" si="6"/>
        <v>#N/A</v>
      </c>
      <c r="N33" s="3"/>
      <c r="O33" s="11" t="e">
        <f t="shared" si="7"/>
        <v>#N/A</v>
      </c>
      <c r="P33" s="3"/>
      <c r="Q33" s="11" t="e">
        <f t="shared" si="8"/>
        <v>#N/A</v>
      </c>
      <c r="R33" s="3"/>
      <c r="S33" s="3"/>
      <c r="T33" s="13"/>
    </row>
    <row r="34" spans="1:20" x14ac:dyDescent="0.3">
      <c r="A34" s="9">
        <v>25</v>
      </c>
      <c r="B34" s="10">
        <v>71</v>
      </c>
      <c r="C34" s="3">
        <f t="shared" si="0"/>
        <v>15</v>
      </c>
      <c r="D34" s="3">
        <v>-12.5</v>
      </c>
      <c r="E34" s="3">
        <v>-78</v>
      </c>
      <c r="F34" s="11">
        <f t="shared" si="1"/>
        <v>65.5</v>
      </c>
      <c r="G34" s="11">
        <f t="shared" si="2"/>
        <v>6.4794000867203749</v>
      </c>
      <c r="H34" s="12">
        <f t="shared" si="3"/>
        <v>2.1084825171429111</v>
      </c>
      <c r="I34" s="3"/>
      <c r="J34" s="3"/>
      <c r="K34" s="11" t="str">
        <f t="shared" si="4"/>
        <v/>
      </c>
      <c r="L34" s="11" t="e">
        <f t="shared" si="5"/>
        <v>#N/A</v>
      </c>
      <c r="M34" s="12" t="e">
        <f t="shared" si="6"/>
        <v>#N/A</v>
      </c>
      <c r="N34" s="3"/>
      <c r="O34" s="11" t="e">
        <f t="shared" si="7"/>
        <v>#N/A</v>
      </c>
      <c r="P34" s="3"/>
      <c r="Q34" s="11" t="e">
        <f t="shared" si="8"/>
        <v>#N/A</v>
      </c>
      <c r="R34" s="3"/>
      <c r="S34" s="3"/>
      <c r="T34" s="13"/>
    </row>
    <row r="35" spans="1:20" x14ac:dyDescent="0.3">
      <c r="A35" s="9">
        <v>26</v>
      </c>
      <c r="B35" s="10">
        <v>80</v>
      </c>
      <c r="C35" s="3">
        <f t="shared" si="0"/>
        <v>15</v>
      </c>
      <c r="D35" s="3">
        <v>-14.6</v>
      </c>
      <c r="E35" s="3">
        <v>-78</v>
      </c>
      <c r="F35" s="11">
        <f t="shared" si="1"/>
        <v>63.4</v>
      </c>
      <c r="G35" s="11">
        <f t="shared" si="2"/>
        <v>4.3794000867203735</v>
      </c>
      <c r="H35" s="12">
        <f t="shared" si="3"/>
        <v>1.6556556074129549</v>
      </c>
      <c r="I35" s="3">
        <v>-35</v>
      </c>
      <c r="J35" s="3"/>
      <c r="K35" s="11" t="str">
        <f>IF(OR(I35="",J35=""),"",I35-J35)</f>
        <v/>
      </c>
      <c r="L35" s="11">
        <f>IF(I35="",NA(),I35-C35+$G$5+$G$4)</f>
        <v>-16.020599913279625</v>
      </c>
      <c r="M35" s="12">
        <f>IF(I35="",NA(),10^(L35/20))</f>
        <v>0.15811388300841889</v>
      </c>
      <c r="N35" s="3"/>
      <c r="O35" s="11" t="e">
        <f t="shared" si="7"/>
        <v>#N/A</v>
      </c>
      <c r="P35" s="3"/>
      <c r="Q35" s="11" t="e">
        <f>IF(OR(I35="",P35=""),NA(),I35-P35+$G$5)</f>
        <v>#N/A</v>
      </c>
      <c r="R35" s="3"/>
      <c r="S35" s="3"/>
      <c r="T35" s="13"/>
    </row>
    <row r="36" spans="1:20" x14ac:dyDescent="0.3">
      <c r="A36" s="9">
        <v>27</v>
      </c>
      <c r="B36" s="10">
        <v>90</v>
      </c>
      <c r="C36" s="3">
        <f t="shared" si="0"/>
        <v>15</v>
      </c>
      <c r="D36" s="3">
        <v>-18</v>
      </c>
      <c r="E36" s="3">
        <v>-78</v>
      </c>
      <c r="F36" s="11">
        <f t="shared" si="1"/>
        <v>60</v>
      </c>
      <c r="G36" s="11">
        <f t="shared" si="2"/>
        <v>0.97940008672037493</v>
      </c>
      <c r="H36" s="12">
        <f t="shared" si="3"/>
        <v>1.1193605692841697</v>
      </c>
      <c r="I36" s="3"/>
      <c r="J36" s="3"/>
      <c r="K36" s="11" t="str">
        <f>IF(OR(I36="",J36=""),"",I36-J36)</f>
        <v/>
      </c>
      <c r="L36" s="11" t="e">
        <f>IF(I36="",NA(),I36-C36+$G$5+$G$4)</f>
        <v>#N/A</v>
      </c>
      <c r="M36" s="12" t="e">
        <f>IF(I36="",NA(),10^(L36/20))</f>
        <v>#N/A</v>
      </c>
      <c r="N36" s="3"/>
      <c r="O36" s="11" t="e">
        <f t="shared" si="7"/>
        <v>#N/A</v>
      </c>
      <c r="P36" s="3"/>
      <c r="Q36" s="11" t="e">
        <f>IF(OR(I36="",P36=""),NA(),I36-P36+$G$5)</f>
        <v>#N/A</v>
      </c>
      <c r="R36" s="3"/>
      <c r="S36" s="3"/>
      <c r="T36" s="13"/>
    </row>
    <row r="37" spans="1:20" x14ac:dyDescent="0.3">
      <c r="A37" s="9">
        <v>28</v>
      </c>
      <c r="B37" s="10">
        <v>100</v>
      </c>
      <c r="C37" s="3">
        <f t="shared" si="0"/>
        <v>15</v>
      </c>
      <c r="D37" s="3">
        <v>-20</v>
      </c>
      <c r="E37" s="3">
        <v>-70</v>
      </c>
      <c r="F37" s="11">
        <f t="shared" si="1"/>
        <v>50</v>
      </c>
      <c r="G37" s="11">
        <f t="shared" si="2"/>
        <v>-1.0205999132796251</v>
      </c>
      <c r="H37" s="12">
        <f t="shared" si="3"/>
        <v>0.88913970501946127</v>
      </c>
      <c r="I37" s="3"/>
      <c r="J37" s="3"/>
      <c r="K37" s="11" t="str">
        <f t="shared" si="4"/>
        <v/>
      </c>
      <c r="L37" s="11" t="e">
        <f t="shared" si="5"/>
        <v>#N/A</v>
      </c>
      <c r="M37" s="12" t="e">
        <f t="shared" si="6"/>
        <v>#N/A</v>
      </c>
      <c r="N37" s="3"/>
      <c r="O37" s="11" t="e">
        <f t="shared" si="7"/>
        <v>#N/A</v>
      </c>
      <c r="P37" s="3"/>
      <c r="Q37" s="11" t="e">
        <f t="shared" si="8"/>
        <v>#N/A</v>
      </c>
      <c r="R37" s="3"/>
      <c r="S37" s="3"/>
      <c r="T37" s="13"/>
    </row>
    <row r="38" spans="1:20" x14ac:dyDescent="0.3">
      <c r="A38" s="9">
        <v>29</v>
      </c>
      <c r="B38" s="10">
        <v>112</v>
      </c>
      <c r="C38" s="3">
        <f t="shared" si="0"/>
        <v>15</v>
      </c>
      <c r="D38" s="3">
        <v>-22.5</v>
      </c>
      <c r="E38" s="3"/>
      <c r="F38" s="11" t="str">
        <f t="shared" si="1"/>
        <v/>
      </c>
      <c r="G38" s="11">
        <f t="shared" si="2"/>
        <v>-3.5205999132796251</v>
      </c>
      <c r="H38" s="12">
        <f t="shared" si="3"/>
        <v>0.66676071608166187</v>
      </c>
      <c r="I38" s="3"/>
      <c r="J38" s="3"/>
      <c r="K38" s="11" t="str">
        <f t="shared" si="4"/>
        <v/>
      </c>
      <c r="L38" s="11" t="e">
        <f t="shared" si="5"/>
        <v>#N/A</v>
      </c>
      <c r="M38" s="12" t="e">
        <f t="shared" si="6"/>
        <v>#N/A</v>
      </c>
      <c r="N38" s="3"/>
      <c r="O38" s="11" t="e">
        <f t="shared" si="7"/>
        <v>#N/A</v>
      </c>
      <c r="P38" s="3"/>
      <c r="Q38" s="11" t="e">
        <f t="shared" si="8"/>
        <v>#N/A</v>
      </c>
      <c r="R38" s="3"/>
      <c r="S38" s="3"/>
      <c r="T38" s="13"/>
    </row>
    <row r="39" spans="1:20" x14ac:dyDescent="0.3">
      <c r="A39" s="9">
        <v>30</v>
      </c>
      <c r="B39" s="10">
        <v>125</v>
      </c>
      <c r="C39" s="3">
        <f t="shared" si="0"/>
        <v>15</v>
      </c>
      <c r="D39" s="3">
        <v>-22.4</v>
      </c>
      <c r="E39" s="3"/>
      <c r="F39" s="11" t="str">
        <f t="shared" si="1"/>
        <v/>
      </c>
      <c r="G39" s="11">
        <f t="shared" si="2"/>
        <v>-3.4205999132796236</v>
      </c>
      <c r="H39" s="12">
        <f t="shared" si="3"/>
        <v>0.67448144129582677</v>
      </c>
      <c r="I39" s="3"/>
      <c r="J39" s="3"/>
      <c r="K39" s="11" t="str">
        <f t="shared" si="4"/>
        <v/>
      </c>
      <c r="L39" s="11" t="e">
        <f t="shared" si="5"/>
        <v>#N/A</v>
      </c>
      <c r="M39" s="12" t="e">
        <f t="shared" si="6"/>
        <v>#N/A</v>
      </c>
      <c r="N39" s="3"/>
      <c r="O39" s="11" t="e">
        <f t="shared" si="7"/>
        <v>#N/A</v>
      </c>
      <c r="P39" s="3"/>
      <c r="Q39" s="11" t="e">
        <f t="shared" si="8"/>
        <v>#N/A</v>
      </c>
      <c r="R39" s="3"/>
      <c r="S39" s="3"/>
      <c r="T39" s="13"/>
    </row>
    <row r="40" spans="1:20" x14ac:dyDescent="0.3">
      <c r="A40" s="9">
        <v>31</v>
      </c>
      <c r="B40" s="10">
        <v>140</v>
      </c>
      <c r="C40" s="3">
        <f t="shared" si="0"/>
        <v>15</v>
      </c>
      <c r="D40" s="3">
        <v>-31.1</v>
      </c>
      <c r="E40" s="3"/>
      <c r="F40" s="11" t="str">
        <f t="shared" si="1"/>
        <v/>
      </c>
      <c r="G40" s="11">
        <f t="shared" si="2"/>
        <v>-12.120599913279626</v>
      </c>
      <c r="H40" s="12">
        <f t="shared" si="3"/>
        <v>0.24772509540239504</v>
      </c>
      <c r="I40" s="3"/>
      <c r="J40" s="3"/>
      <c r="K40" s="11" t="str">
        <f t="shared" si="4"/>
        <v/>
      </c>
      <c r="L40" s="11" t="e">
        <f t="shared" si="5"/>
        <v>#N/A</v>
      </c>
      <c r="M40" s="12" t="e">
        <f t="shared" si="6"/>
        <v>#N/A</v>
      </c>
      <c r="N40" s="3"/>
      <c r="O40" s="11" t="e">
        <f t="shared" si="7"/>
        <v>#N/A</v>
      </c>
      <c r="P40" s="3"/>
      <c r="Q40" s="11" t="e">
        <f t="shared" si="8"/>
        <v>#N/A</v>
      </c>
      <c r="R40" s="3"/>
      <c r="S40" s="3"/>
      <c r="T40" s="13"/>
    </row>
    <row r="41" spans="1:20" x14ac:dyDescent="0.3">
      <c r="A41" s="9">
        <v>32</v>
      </c>
      <c r="B41" s="10">
        <v>150</v>
      </c>
      <c r="C41" s="3">
        <f t="shared" si="0"/>
        <v>15</v>
      </c>
      <c r="D41" s="3">
        <v>-20.6</v>
      </c>
      <c r="E41" s="3"/>
      <c r="F41" s="11" t="str">
        <f t="shared" si="1"/>
        <v/>
      </c>
      <c r="G41" s="11">
        <f t="shared" si="2"/>
        <v>-1.6205999132796265</v>
      </c>
      <c r="H41" s="12">
        <f t="shared" si="3"/>
        <v>0.82979345371878011</v>
      </c>
      <c r="I41" s="3"/>
      <c r="J41" s="3"/>
      <c r="K41" s="11" t="str">
        <f t="shared" si="4"/>
        <v/>
      </c>
      <c r="L41" s="11" t="e">
        <f t="shared" si="5"/>
        <v>#N/A</v>
      </c>
      <c r="M41" s="12" t="e">
        <f t="shared" si="6"/>
        <v>#N/A</v>
      </c>
      <c r="N41" s="3"/>
      <c r="O41" s="11" t="e">
        <f t="shared" si="7"/>
        <v>#N/A</v>
      </c>
      <c r="P41" s="3"/>
      <c r="Q41" s="11" t="e">
        <f t="shared" si="8"/>
        <v>#N/A</v>
      </c>
      <c r="R41" s="3"/>
      <c r="S41" s="3"/>
      <c r="T41" s="13"/>
    </row>
    <row r="44" spans="1:20" x14ac:dyDescent="0.3">
      <c r="A44" s="2" t="s">
        <v>30</v>
      </c>
    </row>
    <row r="45" spans="1:20" x14ac:dyDescent="0.3">
      <c r="A45" s="14" t="s">
        <v>31</v>
      </c>
    </row>
    <row r="46" spans="1:20" x14ac:dyDescent="0.3">
      <c r="A46" s="14" t="s">
        <v>32</v>
      </c>
    </row>
    <row r="47" spans="1:20" x14ac:dyDescent="0.3">
      <c r="A47" s="14" t="s">
        <v>33</v>
      </c>
    </row>
    <row r="48" spans="1:20" x14ac:dyDescent="0.3">
      <c r="A48" s="14" t="s">
        <v>34</v>
      </c>
    </row>
    <row r="49" spans="1:1" x14ac:dyDescent="0.3">
      <c r="A49" s="14" t="s">
        <v>35</v>
      </c>
    </row>
    <row r="50" spans="1:1" x14ac:dyDescent="0.3">
      <c r="A50" s="14" t="s">
        <v>36</v>
      </c>
    </row>
    <row r="51" spans="1:1" x14ac:dyDescent="0.3">
      <c r="A51" s="14" t="s">
        <v>37</v>
      </c>
    </row>
    <row r="52" spans="1:1" x14ac:dyDescent="0.3">
      <c r="A52" s="14" t="s">
        <v>38</v>
      </c>
    </row>
    <row r="53" spans="1:1" x14ac:dyDescent="0.3">
      <c r="A53" s="14" t="s">
        <v>39</v>
      </c>
    </row>
    <row r="54" spans="1:1" x14ac:dyDescent="0.3">
      <c r="A54" s="14" t="s">
        <v>40</v>
      </c>
    </row>
    <row r="55" spans="1:1" x14ac:dyDescent="0.3">
      <c r="A55" s="14" t="s">
        <v>41</v>
      </c>
    </row>
  </sheetData>
  <mergeCells count="9">
    <mergeCell ref="A4:F4"/>
    <mergeCell ref="A3:F3"/>
    <mergeCell ref="I8:M8"/>
    <mergeCell ref="R8:S8"/>
    <mergeCell ref="D8:H8"/>
    <mergeCell ref="N8:Q8"/>
    <mergeCell ref="A5:F5"/>
    <mergeCell ref="A8:C8"/>
    <mergeCell ref="A6:F6"/>
  </mergeCells>
  <conditionalFormatting sqref="F10:F41">
    <cfRule type="expression" dxfId="5" priority="1">
      <formula>AND(ISNUMBER(F10),F10&lt;$G$6)</formula>
    </cfRule>
  </conditionalFormatting>
  <conditionalFormatting sqref="G10:H41">
    <cfRule type="expression" dxfId="4" priority="3">
      <formula>ISNA(G10)</formula>
    </cfRule>
  </conditionalFormatting>
  <conditionalFormatting sqref="K10:K41">
    <cfRule type="expression" dxfId="3" priority="2">
      <formula>AND(ISNUMBER(K10),K10&lt;$G$6)</formula>
    </cfRule>
  </conditionalFormatting>
  <conditionalFormatting sqref="L10:M41">
    <cfRule type="expression" dxfId="2" priority="5">
      <formula>ISNA(L10)</formula>
    </cfRule>
  </conditionalFormatting>
  <conditionalFormatting sqref="O10:O41">
    <cfRule type="expression" dxfId="1" priority="7">
      <formula>ISNA(O10)</formula>
    </cfRule>
  </conditionalFormatting>
  <conditionalFormatting sqref="Q10:Q41">
    <cfRule type="expression" dxfId="0" priority="8">
      <formula>ISNA(Q10)</formula>
    </cfRule>
  </conditionalFormatting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workbookViewId="0">
      <selection activeCell="B9" sqref="B9"/>
    </sheetView>
  </sheetViews>
  <sheetFormatPr defaultRowHeight="14.4" x14ac:dyDescent="0.3"/>
  <cols>
    <col min="1" max="1" width="36" customWidth="1"/>
    <col min="2" max="2" width="60" customWidth="1"/>
    <col min="3" max="3" width="48" customWidth="1"/>
  </cols>
  <sheetData>
    <row r="1" spans="1:3" ht="17.399999999999999" x14ac:dyDescent="0.3">
      <c r="A1" s="1" t="s">
        <v>42</v>
      </c>
    </row>
    <row r="3" spans="1:3" x14ac:dyDescent="0.3">
      <c r="A3" s="15" t="s">
        <v>43</v>
      </c>
      <c r="B3" s="15" t="s">
        <v>44</v>
      </c>
      <c r="C3" s="15" t="s">
        <v>45</v>
      </c>
    </row>
    <row r="4" spans="1:3" x14ac:dyDescent="0.3">
      <c r="A4" s="2" t="s">
        <v>46</v>
      </c>
    </row>
    <row r="5" spans="1:3" x14ac:dyDescent="0.3">
      <c r="A5" s="16" t="s">
        <v>47</v>
      </c>
      <c r="B5" s="26">
        <v>46315</v>
      </c>
      <c r="C5" s="18"/>
    </row>
    <row r="6" spans="1:3" x14ac:dyDescent="0.3">
      <c r="A6" s="16" t="s">
        <v>48</v>
      </c>
      <c r="B6" s="17" t="s">
        <v>90</v>
      </c>
      <c r="C6" s="18"/>
    </row>
    <row r="7" spans="1:3" x14ac:dyDescent="0.3">
      <c r="A7" s="16" t="s">
        <v>49</v>
      </c>
      <c r="B7" s="17" t="s">
        <v>91</v>
      </c>
      <c r="C7" s="18"/>
    </row>
    <row r="8" spans="1:3" x14ac:dyDescent="0.3">
      <c r="A8" s="16" t="s">
        <v>50</v>
      </c>
      <c r="B8" s="17">
        <v>20</v>
      </c>
      <c r="C8" s="18"/>
    </row>
    <row r="9" spans="1:3" x14ac:dyDescent="0.3">
      <c r="A9" s="2" t="s">
        <v>6</v>
      </c>
    </row>
    <row r="10" spans="1:3" x14ac:dyDescent="0.3">
      <c r="A10" s="16" t="s">
        <v>51</v>
      </c>
      <c r="B10" s="17"/>
      <c r="C10" s="18"/>
    </row>
    <row r="11" spans="1:3" x14ac:dyDescent="0.3">
      <c r="A11" s="16" t="s">
        <v>52</v>
      </c>
      <c r="B11" s="17"/>
      <c r="C11" s="18"/>
    </row>
    <row r="12" spans="1:3" x14ac:dyDescent="0.3">
      <c r="A12" s="16" t="s">
        <v>53</v>
      </c>
      <c r="B12" s="17"/>
      <c r="C12" s="18" t="s">
        <v>54</v>
      </c>
    </row>
    <row r="13" spans="1:3" x14ac:dyDescent="0.3">
      <c r="A13" s="2" t="s">
        <v>7</v>
      </c>
    </row>
    <row r="14" spans="1:3" x14ac:dyDescent="0.3">
      <c r="A14" s="16" t="s">
        <v>51</v>
      </c>
      <c r="B14" s="17"/>
      <c r="C14" s="18"/>
    </row>
    <row r="15" spans="1:3" x14ac:dyDescent="0.3">
      <c r="A15" s="16" t="s">
        <v>52</v>
      </c>
      <c r="B15" s="17"/>
      <c r="C15" s="18"/>
    </row>
    <row r="16" spans="1:3" x14ac:dyDescent="0.3">
      <c r="A16" s="16" t="s">
        <v>53</v>
      </c>
      <c r="B16" s="17"/>
      <c r="C16" s="18" t="s">
        <v>54</v>
      </c>
    </row>
    <row r="17" spans="1:3" x14ac:dyDescent="0.3">
      <c r="A17" s="2" t="s">
        <v>55</v>
      </c>
    </row>
    <row r="18" spans="1:3" x14ac:dyDescent="0.3">
      <c r="A18" s="16" t="s">
        <v>51</v>
      </c>
      <c r="B18" s="17" t="s">
        <v>56</v>
      </c>
      <c r="C18" s="18"/>
    </row>
    <row r="19" spans="1:3" x14ac:dyDescent="0.3">
      <c r="A19" s="16" t="s">
        <v>57</v>
      </c>
      <c r="B19" s="19">
        <f>Medición!G3</f>
        <v>15</v>
      </c>
      <c r="C19" s="18" t="s">
        <v>58</v>
      </c>
    </row>
    <row r="20" spans="1:3" x14ac:dyDescent="0.3">
      <c r="A20" s="16" t="s">
        <v>59</v>
      </c>
      <c r="B20" s="17"/>
      <c r="C20" s="18" t="s">
        <v>60</v>
      </c>
    </row>
    <row r="21" spans="1:3" x14ac:dyDescent="0.3">
      <c r="A21" s="2" t="s">
        <v>61</v>
      </c>
    </row>
    <row r="22" spans="1:3" x14ac:dyDescent="0.3">
      <c r="A22" s="16" t="s">
        <v>51</v>
      </c>
      <c r="B22" s="17" t="s">
        <v>62</v>
      </c>
      <c r="C22" s="18"/>
    </row>
    <row r="23" spans="1:3" x14ac:dyDescent="0.3">
      <c r="A23" s="16" t="s">
        <v>63</v>
      </c>
      <c r="B23" s="17"/>
      <c r="C23" s="18" t="s">
        <v>64</v>
      </c>
    </row>
    <row r="24" spans="1:3" x14ac:dyDescent="0.3">
      <c r="A24" s="16" t="s">
        <v>65</v>
      </c>
      <c r="B24" s="17"/>
      <c r="C24" s="18" t="s">
        <v>64</v>
      </c>
    </row>
    <row r="25" spans="1:3" x14ac:dyDescent="0.3">
      <c r="A25" s="16" t="s">
        <v>66</v>
      </c>
      <c r="B25" s="17"/>
      <c r="C25" s="18" t="s">
        <v>67</v>
      </c>
    </row>
    <row r="26" spans="1:3" x14ac:dyDescent="0.3">
      <c r="A26" s="16" t="s">
        <v>68</v>
      </c>
      <c r="B26" s="17"/>
      <c r="C26" s="18" t="s">
        <v>69</v>
      </c>
    </row>
    <row r="27" spans="1:3" x14ac:dyDescent="0.3">
      <c r="A27" s="16" t="s">
        <v>70</v>
      </c>
      <c r="B27" s="17"/>
      <c r="C27" s="18" t="s">
        <v>71</v>
      </c>
    </row>
    <row r="28" spans="1:3" x14ac:dyDescent="0.3">
      <c r="A28" s="16" t="s">
        <v>72</v>
      </c>
      <c r="B28" s="17"/>
      <c r="C28" s="18" t="s">
        <v>73</v>
      </c>
    </row>
    <row r="29" spans="1:3" x14ac:dyDescent="0.3">
      <c r="A29" s="16" t="s">
        <v>74</v>
      </c>
      <c r="B29" s="17"/>
      <c r="C29" s="18" t="s">
        <v>75</v>
      </c>
    </row>
    <row r="30" spans="1:3" x14ac:dyDescent="0.3">
      <c r="A30" s="16" t="s">
        <v>76</v>
      </c>
      <c r="B30" s="17"/>
      <c r="C30" s="18" t="s">
        <v>77</v>
      </c>
    </row>
    <row r="31" spans="1:3" x14ac:dyDescent="0.3">
      <c r="A31" s="2" t="s">
        <v>78</v>
      </c>
    </row>
    <row r="32" spans="1:3" ht="42" customHeight="1" x14ac:dyDescent="0.3">
      <c r="A32" s="16" t="s">
        <v>79</v>
      </c>
      <c r="B32" s="17" t="s">
        <v>80</v>
      </c>
      <c r="C32" s="18"/>
    </row>
    <row r="33" spans="1:3" x14ac:dyDescent="0.3">
      <c r="A33" s="16" t="s">
        <v>81</v>
      </c>
      <c r="B33" s="17"/>
      <c r="C33" s="18" t="s">
        <v>82</v>
      </c>
    </row>
    <row r="34" spans="1:3" x14ac:dyDescent="0.3">
      <c r="A34" s="16" t="s">
        <v>83</v>
      </c>
      <c r="B34" s="17"/>
      <c r="C34" s="18" t="s">
        <v>84</v>
      </c>
    </row>
    <row r="35" spans="1:3" x14ac:dyDescent="0.3">
      <c r="A35" s="16" t="s">
        <v>85</v>
      </c>
      <c r="B35" s="17"/>
      <c r="C35" s="18"/>
    </row>
    <row r="36" spans="1:3" x14ac:dyDescent="0.3">
      <c r="A36" s="16" t="s">
        <v>86</v>
      </c>
      <c r="B36" s="17"/>
      <c r="C36" s="18"/>
    </row>
    <row r="37" spans="1:3" x14ac:dyDescent="0.3">
      <c r="A37" s="16" t="s">
        <v>87</v>
      </c>
      <c r="B37" s="17"/>
      <c r="C37" s="18"/>
    </row>
    <row r="38" spans="1:3" x14ac:dyDescent="0.3">
      <c r="A38" s="16" t="s">
        <v>2</v>
      </c>
      <c r="B38" s="19">
        <f>Medición!G4</f>
        <v>0</v>
      </c>
      <c r="C38" s="18" t="s">
        <v>88</v>
      </c>
    </row>
    <row r="39" spans="1:3" x14ac:dyDescent="0.3">
      <c r="A39" s="2" t="s">
        <v>29</v>
      </c>
    </row>
    <row r="40" spans="1:3" x14ac:dyDescent="0.3">
      <c r="A40" s="16" t="s">
        <v>89</v>
      </c>
      <c r="B40" s="17"/>
      <c r="C40" s="1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P11" sqref="P11"/>
    </sheetView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Medición</vt:lpstr>
      <vt:lpstr>Datos del ensayo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Ledesma</cp:lastModifiedBy>
  <dcterms:created xsi:type="dcterms:W3CDTF">2026-10-20T20:49:10Z</dcterms:created>
  <dcterms:modified xsi:type="dcterms:W3CDTF">2026-10-20T21:21:16Z</dcterms:modified>
</cp:coreProperties>
</file>